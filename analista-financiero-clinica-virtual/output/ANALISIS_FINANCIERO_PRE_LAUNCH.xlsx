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TIERS" sheetId="2" state="visible" r:id="rId2"/>
    <sheet name="ROSTER" sheetId="3" state="visible" r:id="rId3"/>
    <sheet name="OPERATING_COSTS" sheetId="4" state="visible" r:id="rId4"/>
    <sheet name="INFRASTRUCTURE_ASSETS" sheetId="5" state="visible" r:id="rId5"/>
    <sheet name="CAPEX_SUMMARY" sheetId="6" state="visible" r:id="rId6"/>
    <sheet name="PARTNERSHIP_STRUCTURE" sheetId="7" state="visible" r:id="rId7"/>
    <sheet name="MODEL" sheetId="8" state="visible" r:id="rId8"/>
    <sheet name="SCENARIOS" sheetId="9" state="visible" r:id="rId9"/>
    <sheet name="SCENARIO_B_LIGHT" sheetId="10" state="visible" r:id="rId10"/>
    <sheet name="PARTNER_L_COVERAGE" sheetId="11" state="visible" r:id="rId11"/>
    <sheet name="DASHBOARD" sheetId="12" state="visible" r:id="rId12"/>
    <sheet name="EXPENSES" sheetId="13" state="visible" r:id="rId13"/>
    <sheet name="PRINT_SUMMARY" sheetId="14" state="visible" r:id="rId14"/>
  </sheets>
  <definedNames>
    <definedName name="OperatingCostsMonthly">OPERATING_COSTS!$B$14</definedName>
    <definedName name="ClinicMargin">MODEL!$B$5</definedName>
    <definedName name="NetProfit">MODEL!$B$12</definedName>
    <definedName name="InitialCapitalContribution">INPUTS!$B$26</definedName>
    <definedName name="Input_Variables">DASHBOARD!$N$38</definedName>
    <definedName name="_xlnm.Print_Area" localSheetId="11">'DASHBOARD'!$A$24:$F$31</definedName>
    <definedName name="_xlnm.Print_Area" localSheetId="13">'PRINT_SUMMARY'!$A$1:$F$11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6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  <font>
      <b val="1"/>
      <sz val="12"/>
    </font>
    <font>
      <b val="1"/>
      <i val="1"/>
    </font>
    <font>
      <i val="1"/>
      <color rgb="006B7280"/>
      <sz val="9"/>
    </font>
    <font>
      <name val="Calibri Light"/>
      <b val="1"/>
      <color rgb="00111827"/>
      <sz val="15"/>
    </font>
    <font>
      <name val="Calibri Light"/>
      <b val="1"/>
      <color rgb="006B7280"/>
      <sz val="10"/>
    </font>
    <font>
      <name val="Calibri Light"/>
      <color rgb="00374151"/>
      <sz val="11"/>
    </font>
    <font>
      <b val="1"/>
      <sz val="11"/>
    </font>
    <font>
      <name val="Calibri Light"/>
      <i val="1"/>
      <color rgb="009CA3AF"/>
      <sz val="8"/>
    </font>
    <font>
      <name val="Calibri Light"/>
      <color rgb="006B7280"/>
      <sz val="8"/>
    </font>
    <font>
      <name val="Calibri Light"/>
      <color rgb="004B5563"/>
      <sz val="9"/>
    </font>
    <font>
      <name val="Calibri Light"/>
      <b val="1"/>
      <color rgb="00111827"/>
      <sz val="18"/>
    </font>
    <font>
      <name val="Calibri Light"/>
      <color rgb="006B7280"/>
      <sz val="9"/>
    </font>
    <font>
      <name val="Calibri Light"/>
      <b val="1"/>
      <color rgb="00374151"/>
      <sz val="12"/>
    </font>
  </fonts>
  <fills count="6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E8E8E8"/>
        <bgColor rgb="00E8E8E8"/>
      </patternFill>
    </fill>
    <fill>
      <patternFill patternType="solid">
        <fgColor rgb="00FAFAFA"/>
        <bgColor rgb="00FAFAF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2" fontId="0" fillId="2" borderId="0" applyProtection="1" pivotButton="0" quotePrefix="0" xfId="0">
      <protection locked="0" hidden="0"/>
    </xf>
    <xf numFmtId="1" fontId="0" fillId="2" borderId="0" applyProtection="1" pivotButton="0" quotePrefix="0" xfId="0">
      <protection locked="0" hidden="0"/>
    </xf>
    <xf numFmtId="164" fontId="0" fillId="0" borderId="0" pivotButton="0" quotePrefix="0" xfId="0"/>
    <xf numFmtId="3" fontId="0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3" borderId="0" pivotButton="0" quotePrefix="0" xfId="0"/>
    <xf numFmtId="0" fontId="1" fillId="3" borderId="0" applyProtection="1" pivotButton="0" quotePrefix="0" xfId="0">
      <protection locked="0" hidden="0"/>
    </xf>
    <xf numFmtId="3" fontId="0" fillId="2" borderId="0" pivotButton="0" quotePrefix="0" xfId="0"/>
    <xf numFmtId="3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applyProtection="1" pivotButton="0" quotePrefix="0" xfId="0">
      <protection locked="0" hidden="0"/>
    </xf>
    <xf numFmtId="0" fontId="3" fillId="0" borderId="0" pivotButton="0" quotePrefix="0" xfId="0"/>
    <xf numFmtId="0" fontId="4" fillId="0" borderId="0" pivotButton="0" quotePrefix="0" xfId="0"/>
    <xf numFmtId="3" fontId="2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0" fontId="9" fillId="0" borderId="0" pivotButton="0" quotePrefix="0" xfId="0"/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6" fillId="4" borderId="0" applyAlignment="1" pivotButton="0" quotePrefix="0" xfId="0">
      <alignment horizontal="center" vertical="center"/>
    </xf>
    <xf numFmtId="0" fontId="7" fillId="4" borderId="0" pivotButton="0" quotePrefix="0" xfId="0"/>
    <xf numFmtId="4" fontId="8" fillId="4" borderId="0" pivotButton="0" quotePrefix="0" xfId="0"/>
    <xf numFmtId="0" fontId="8" fillId="4" borderId="0" pivotButton="0" quotePrefix="0" xfId="0"/>
    <xf numFmtId="0" fontId="10" fillId="0" borderId="0" applyAlignment="1" pivotButton="0" quotePrefix="0" xfId="0">
      <alignment horizontal="right" vertical="center"/>
    </xf>
    <xf numFmtId="0" fontId="11" fillId="0" borderId="0" pivotButton="0" quotePrefix="0" xfId="0"/>
    <xf numFmtId="3" fontId="12" fillId="5" borderId="0" applyProtection="1" pivotButton="0" quotePrefix="0" xfId="0">
      <protection locked="0" hidden="0"/>
    </xf>
    <xf numFmtId="4" fontId="0" fillId="2" borderId="0" applyProtection="1" pivotButton="0" quotePrefix="0" xfId="0">
      <protection locked="0" hidden="0"/>
    </xf>
    <xf numFmtId="4" fontId="2" fillId="0" borderId="0" pivotButton="0" quotePrefix="0" xfId="0"/>
    <xf numFmtId="0" fontId="1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0" borderId="1" applyAlignment="1" pivotButton="0" quotePrefix="0" xfId="0">
      <alignment horizontal="left" vertical="center"/>
    </xf>
    <xf numFmtId="0" fontId="15" fillId="0" borderId="1" pivotButton="0" quotePrefix="0" xfId="0"/>
    <xf numFmtId="0" fontId="8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(scenario) [DRAFT_OP_V5]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'SCENARIOS'!$B$1:$F$1</f>
            </numRef>
          </cat>
          <val>
            <numRef>
              <f>'SCENARIOS'!$B$5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'SCENARIOS'!$B$1:$F$1</f>
            </numRef>
          </cat>
          <val>
            <numRef>
              <f>'SCENARIOS'!$C$5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'SCENARIOS'!$B$1:$F$1</f>
            </numRef>
          </cat>
          <val>
            <numRef>
              <f>'SCENARIOS'!$D$5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'SCENARIOS'!$B$1:$F$1</f>
            </numRef>
          </cat>
          <val>
            <numRef>
              <f>'SCENARIOS'!$E$5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'SCENARIOS'!$B$1:$F$1</f>
            </numRef>
          </cat>
          <val>
            <numRef>
              <f>'SCENARIOS'!$F$5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'SCENARIOS'!$B$1:$F$1</f>
            </numRef>
          </cat>
          <val>
            <numRef>
              <f>'SCENARIOS'!$B$2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'SCENARIOS'!$B$1:$F$1</f>
            </numRef>
          </cat>
          <val>
            <numRef>
              <f>'SCENARIOS'!$C$2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'SCENARIOS'!$B$1:$F$1</f>
            </numRef>
          </cat>
          <val>
            <numRef>
              <f>'SCENARIOS'!$D$2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'SCENARIOS'!$B$1:$F$1</f>
            </numRef>
          </cat>
          <val>
            <numRef>
              <f>'SCENARIOS'!$E$2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'SCENARIOS'!$B$1:$F$1</f>
            </numRef>
          </cat>
          <val>
            <numRef>
              <f>'SCENARIOS'!$F$2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'EXPENSES'!$A$2:$A$13</f>
            </numRef>
          </cat>
          <val>
            <numRef>
              <f>'EXPENSES'!$B$2:$B$13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The Architect</author>
  </authors>
  <commentList>
    <comment ref="B41" authorId="0" shapeId="0">
      <text>
        <t>DRAFT_OP_V5: Single editable control on DASHBOARD (N38); flows to MODEL via INPUTS.</t>
      </text>
    </comment>
    <comment ref="B42" authorId="0" shapeId="0">
      <text>
        <t>DRAFT_OP_V5: Legal actual + marketing launch one-time + software init.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16" customWidth="1" min="3" max="3"/>
  </cols>
  <sheetData>
    <row r="1">
      <c r="A1" s="1" t="inlineStr">
        <is>
          <t>VARIABLE [DRAFT_OP_V5]</t>
        </is>
      </c>
      <c r="B1" s="2" t="inlineStr">
        <is>
          <t>VALUE [DRAFT_OP_V5]</t>
        </is>
      </c>
      <c r="C1" s="1" t="inlineStr">
        <is>
          <t>STATUS [DRAFT_OP_V5]</t>
        </is>
      </c>
    </row>
    <row r="2">
      <c r="A2" t="inlineStr">
        <is>
          <t>Clinic % [DRAFT_OP_V5]</t>
        </is>
      </c>
      <c r="B2" s="3" t="n">
        <v>0.33</v>
      </c>
      <c r="C2" t="inlineStr">
        <is>
          <t>[VERIFIED]</t>
        </is>
      </c>
    </row>
    <row r="3">
      <c r="A3" t="inlineStr">
        <is>
          <t>Utilization (Path B ref.) [DRAFT_OP_V5]</t>
        </is>
      </c>
      <c r="B3" s="3" t="n">
        <v>0.8</v>
      </c>
      <c r="C3" t="inlineStr">
        <is>
          <t>[PENDING_DATA]</t>
        </is>
      </c>
    </row>
    <row r="4">
      <c r="A4" t="inlineStr">
        <is>
          <t>Weeks/year [DRAFT_OP_V5]</t>
        </is>
      </c>
      <c r="B4" s="4" t="n">
        <v>48</v>
      </c>
      <c r="C4" t="inlineStr">
        <is>
          <t>[PENDING_DATA]</t>
        </is>
      </c>
    </row>
    <row r="5">
      <c r="A5" t="inlineStr">
        <is>
          <t>Weeks/month factor (sessions equiv.) [DRAFT_OP_V5]</t>
        </is>
      </c>
      <c r="B5" s="5">
        <f>52/12</f>
        <v/>
      </c>
    </row>
    <row r="6">
      <c r="A6" t="inlineStr">
        <is>
          <t>Partner_L_Draw — fixed target (CAD/mo) [DRAFT_OP_V5]</t>
        </is>
      </c>
      <c r="B6" s="6" t="n">
        <v>2000</v>
      </c>
      <c r="C6" t="inlineStr">
        <is>
          <t>[VERIFIED]</t>
        </is>
      </c>
    </row>
    <row r="7">
      <c r="A7" t="inlineStr">
        <is>
          <t>Director — admin hours/month [DRAFT_OP_V5]</t>
        </is>
      </c>
      <c r="B7" s="4" t="n">
        <v>20</v>
      </c>
      <c r="C7" t="inlineStr">
        <is>
          <t>[PENDING_DATA]</t>
        </is>
      </c>
    </row>
    <row r="8">
      <c r="A8" t="inlineStr">
        <is>
          <t>Director_Admin_Rate ($/hr) [DRAFT_OP_V5]</t>
        </is>
      </c>
      <c r="B8" s="6" t="n">
        <v>75</v>
      </c>
      <c r="C8" t="inlineStr">
        <is>
          <t>[VERIFIED]</t>
        </is>
      </c>
    </row>
    <row r="9">
      <c r="A9" t="inlineStr">
        <is>
          <t>Director — clinical sessions/month [DRAFT_OP_V5]</t>
        </is>
      </c>
      <c r="B9" s="4" t="n">
        <v>0</v>
      </c>
      <c r="C9" t="inlineStr">
        <is>
          <t>[PENDING_DATA]</t>
        </is>
      </c>
    </row>
    <row r="10">
      <c r="A10" t="inlineStr">
        <is>
          <t>Director billing rate — Senior (CAD/session) [DRAFT_OP_V5]</t>
        </is>
      </c>
      <c r="B10" s="6" t="n">
        <v>190</v>
      </c>
      <c r="C10" t="inlineStr">
        <is>
          <t>[VERIFIED]</t>
        </is>
      </c>
    </row>
    <row r="11">
      <c r="A11" t="inlineStr">
        <is>
          <t>Director clinical pay — 65% × Senior rate (=0.65×billing) [DRAFT_OP_V5]</t>
        </is>
      </c>
      <c r="B11" s="5">
        <f>0.65*B10</f>
        <v/>
      </c>
    </row>
    <row r="12">
      <c r="A12" t="inlineStr">
        <is>
          <t>Min roster count (activate fees) [DRAFT_OP_V5]</t>
        </is>
      </c>
      <c r="B12" s="4" t="n">
        <v>1</v>
      </c>
      <c r="C12" t="inlineStr">
        <is>
          <t>[PENDING_DATA]</t>
        </is>
      </c>
    </row>
    <row r="13">
      <c r="A13" t="inlineStr">
        <is>
          <t>Supervision — hours/month [DRAFT_OP_V5]</t>
        </is>
      </c>
      <c r="B13" s="4" t="n">
        <v>0</v>
      </c>
      <c r="C13" t="inlineStr">
        <is>
          <t>[PENDING_DATA]</t>
        </is>
      </c>
    </row>
    <row r="14">
      <c r="A14" t="inlineStr">
        <is>
          <t>Supervision — rate (CAD/hr) [DRAFT_OP_V5]</t>
        </is>
      </c>
      <c r="B14" s="6" t="n">
        <v>150</v>
      </c>
      <c r="C14" t="inlineStr">
        <is>
          <t>[VERIFIED]</t>
        </is>
      </c>
    </row>
    <row r="15">
      <c r="A15" t="inlineStr">
        <is>
          <t>Admin / platform flat fee (CAD/mo) [DRAFT_OP_V5]</t>
        </is>
      </c>
      <c r="B15" s="6" t="n">
        <v>0</v>
      </c>
      <c r="C15" t="inlineStr">
        <is>
          <t>[PENDING_DATA]</t>
        </is>
      </c>
    </row>
    <row r="16">
      <c r="A16" t="inlineStr">
        <is>
          <t>Director legacy — % of roster gross [DRAFT_OP_V5]</t>
        </is>
      </c>
      <c r="B16" s="3" t="n">
        <v>0</v>
      </c>
      <c r="C16" t="inlineStr">
        <is>
          <t>[PENDING_DATA]</t>
        </is>
      </c>
    </row>
    <row r="17">
      <c r="A17" t="inlineStr">
        <is>
          <t>Director legacy — $/session (roster volume) [DRAFT_OP_V5]</t>
        </is>
      </c>
      <c r="B17" s="6" t="n">
        <v>0</v>
      </c>
      <c r="C17" t="inlineStr">
        <is>
          <t>[PENDING_DATA]</t>
        </is>
      </c>
    </row>
    <row r="18">
      <c r="B18" s="7" t="n"/>
    </row>
    <row r="19">
      <c r="A19" t="inlineStr">
        <is>
          <t>Tax rate — clinic [DRAFT_OP_V5]</t>
        </is>
      </c>
      <c r="B19" s="3" t="n">
        <v>0.3</v>
      </c>
      <c r="C19" t="inlineStr">
        <is>
          <t>[PENDING_DATA]</t>
        </is>
      </c>
    </row>
    <row r="20">
      <c r="A20" t="inlineStr">
        <is>
          <t>Planning — NP benchmark (not an expense) [DRAFT_OP_V5]</t>
        </is>
      </c>
      <c r="B20" s="6" t="n">
        <v>0</v>
      </c>
      <c r="C20" t="inlineStr">
        <is>
          <t>[PENDING_DATA]</t>
        </is>
      </c>
    </row>
    <row r="21">
      <c r="A21" t="inlineStr">
        <is>
          <t>Investor net target (CAD/mo) [DRAFT_OP_V5]</t>
        </is>
      </c>
      <c r="B21" s="6" t="n">
        <v>0</v>
      </c>
      <c r="C21" t="inlineStr">
        <is>
          <t>[PENDING_DATA]</t>
        </is>
      </c>
    </row>
    <row r="22">
      <c r="A22" t="inlineStr">
        <is>
          <t>Partner_L monthly need (reference) [DRAFT_OP_V5]</t>
        </is>
      </c>
      <c r="B22" s="6" t="n">
        <v>0</v>
      </c>
      <c r="C22" t="inlineStr">
        <is>
          <t>[PENDING_DATA]</t>
        </is>
      </c>
    </row>
    <row r="23">
      <c r="A23" t="inlineStr">
        <is>
          <t>Dividend payout ratio (of net profit) [DRAFT_OP_V5]</t>
        </is>
      </c>
      <c r="B23" s="3" t="n">
        <v>0.25</v>
      </c>
      <c r="C23" t="inlineStr">
        <is>
          <t>[PENDING_DATA]</t>
        </is>
      </c>
    </row>
    <row r="24">
      <c r="B24" s="7" t="n"/>
    </row>
    <row r="25">
      <c r="A25" t="inlineStr">
        <is>
          <t>Initial capital — line-item audit (→ INFRASTRUCTURE_ASSETS) [DRAFT_OP_V5]</t>
        </is>
      </c>
      <c r="B25" s="6">
        <f>INFRASTRUCTURE_ASSETS!$B$9</f>
        <v/>
      </c>
      <c r="C25" t="inlineStr">
        <is>
          <t>[VERIFIED]</t>
        </is>
      </c>
    </row>
    <row r="26">
      <c r="A26" t="inlineStr">
        <is>
          <t>Initial capital — valuation rollup (→ CAPEX_SUMMARY) [DRAFT_OP_V5]</t>
        </is>
      </c>
      <c r="B26" s="6">
        <f>CAPEX_SUMMARY!$B$3</f>
        <v/>
      </c>
      <c r="C26" t="inlineStr">
        <is>
          <t>[VERIFIED]</t>
        </is>
      </c>
    </row>
    <row r="27">
      <c r="B27" s="7" t="n"/>
    </row>
    <row r="28">
      <c r="A28" s="8" t="inlineStr">
        <is>
          <t>Legal — incorporation — RANGE (ghost) [DRAFT_OP_V5]</t>
        </is>
      </c>
      <c r="B28" s="9" t="inlineStr">
        <is>
          <t>Market Benchmark [QC_2026_DATA]: [$600 – $5,000] QC incorporation (reference band)</t>
        </is>
      </c>
    </row>
    <row r="29">
      <c r="A29" s="1" t="inlineStr">
        <is>
          <t>Legal — incorporation — ACTUAL (CAD) [DRAFT_OP_V5]</t>
        </is>
      </c>
      <c r="B29" s="6" t="n">
        <v>600</v>
      </c>
      <c r="C29" t="inlineStr">
        <is>
          <t>[VERIFIED]</t>
        </is>
      </c>
    </row>
    <row r="30" ht="24" customHeight="1">
      <c r="A30" s="8" t="inlineStr">
        <is>
          <t>Marketing (monthly) — RANGE (ghost) [DRAFT_OP_V5]</t>
        </is>
      </c>
      <c r="B30" s="9" t="inlineStr">
        <is>
          <t>Market Benchmark [QC_2026_DATA]: [$500 – $2,500] Google Ads (reference band)</t>
        </is>
      </c>
    </row>
    <row r="31" ht="24" customHeight="1">
      <c r="A31" s="1" t="inlineStr">
        <is>
          <t>Marketing (monthly) — ACTUAL (CAD) [DRAFT_OP_V5]</t>
        </is>
      </c>
      <c r="B31" s="6" t="n">
        <v>500</v>
      </c>
      <c r="C31" t="inlineStr">
        <is>
          <t>[VERIFIED]</t>
        </is>
      </c>
    </row>
    <row r="32" ht="24" customHeight="1">
      <c r="A32" s="8" t="inlineStr">
        <is>
          <t>Software (Jane App) — RANGE (ghost) [DRAFT_OP_V5]</t>
        </is>
      </c>
      <c r="B32" s="9" t="inlineStr">
        <is>
          <t>Market Benchmark [QC_2026_DATA]: [$79 – $109] Jane App (reference band)</t>
        </is>
      </c>
    </row>
    <row r="33" ht="24" customHeight="1">
      <c r="A33" s="1" t="inlineStr">
        <is>
          <t>Software (Jane App) — ACTUAL (CAD/mo) [DRAFT_OP_V5]</t>
        </is>
      </c>
      <c r="B33" s="6" t="n">
        <v>109</v>
      </c>
      <c r="C33" t="inlineStr">
        <is>
          <t>[VERIFIED]</t>
        </is>
      </c>
    </row>
    <row r="34">
      <c r="A34" t="inlineStr">
        <is>
          <t>Initial investment — Marketing launch (one-time) [DRAFT_OP_V5]</t>
        </is>
      </c>
      <c r="B34" s="6" t="n">
        <v>0</v>
      </c>
      <c r="C34" t="inlineStr">
        <is>
          <t>[PENDING_DATA]</t>
        </is>
      </c>
    </row>
    <row r="35">
      <c r="A35" t="inlineStr">
        <is>
          <t>Initial investment — Software licenses [DRAFT_OP_V5]</t>
        </is>
      </c>
      <c r="B35" s="6" t="n">
        <v>0</v>
      </c>
      <c r="C35" t="inlineStr">
        <is>
          <t>[PENDING_DATA]</t>
        </is>
      </c>
    </row>
    <row r="36">
      <c r="A36" t="inlineStr">
        <is>
          <t>Municipal license / business registration (annual CAD) [DRAFT_OP_V5]</t>
        </is>
      </c>
      <c r="B36" s="6" t="n">
        <v>300</v>
      </c>
      <c r="C36" t="inlineStr">
        <is>
          <t>[PENDING_DATA]</t>
        </is>
      </c>
    </row>
    <row r="37">
      <c r="A37" t="inlineStr">
        <is>
          <t>Professional liability — Social Work (annual CAD) [DRAFT_OP_V5]</t>
        </is>
      </c>
      <c r="B37" s="6" t="n">
        <v>400</v>
      </c>
      <c r="C37" t="inlineStr">
        <is>
          <t>[PENDING_DATA]</t>
        </is>
      </c>
    </row>
    <row r="38" ht="24" customHeight="1">
      <c r="A38" s="8" t="inlineStr">
        <is>
          <t>Professional insurance (QC psych) — RANGE (ghost) [DRAFT_OP_V5]</t>
        </is>
      </c>
      <c r="B38" s="9" t="inlineStr">
        <is>
          <t>Market Benchmark [QC_2026_DATA]: [$50 – $100]/mo (reference band)</t>
        </is>
      </c>
    </row>
    <row r="39" ht="24" customHeight="1">
      <c r="A39" s="1" t="inlineStr">
        <is>
          <t>Professional insurance (QC psych) — ACTUAL (CAD/mo) [DRAFT_OP_V5]</t>
        </is>
      </c>
      <c r="B39" s="6" t="n">
        <v>65</v>
      </c>
      <c r="C39" t="inlineStr">
        <is>
          <t>[VERIFIED]</t>
        </is>
      </c>
    </row>
    <row r="40">
      <c r="A40" t="inlineStr">
        <is>
          <t>Monthly — Domain / Hosting / Phone [DRAFT_OP_V5]</t>
        </is>
      </c>
      <c r="B40" s="6" t="n">
        <v>85</v>
      </c>
      <c r="C40" t="inlineStr">
        <is>
          <t>[VERIFIED]</t>
        </is>
      </c>
    </row>
    <row r="41">
      <c r="A41" t="inlineStr">
        <is>
          <t>ADJUSTMENT_RESERVE (→ DASHBOARD Input_Variables) [DRAFT_OP_V5]</t>
        </is>
      </c>
      <c r="B41" s="10">
        <f>DASHBOARD!$N$38</f>
        <v/>
      </c>
      <c r="C41" t="inlineStr">
        <is>
          <t>[VERIFIED]</t>
        </is>
      </c>
    </row>
    <row r="42">
      <c r="A42" t="inlineStr">
        <is>
          <t>Initial investment total [DRAFT_OP_V5]</t>
        </is>
      </c>
      <c r="B42" s="11">
        <f>SUM(B29,B34,B35)</f>
        <v/>
      </c>
    </row>
    <row r="43">
      <c r="A43" s="12" t="inlineStr">
        <is>
          <t>Footnote: [PENDING_DATA] = operational inputs pending user entry. Initial capital (B25–B26) references INFRASTRUCTURE_ASSETS and CAPEX_SUMMARY.</t>
        </is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mergeCells count="1">
    <mergeCell ref="A43:C43"/>
  </mergeCells>
  <dataValidations count="4">
    <dataValidation sqref="B2" showDropDown="0" showInputMessage="0" showErrorMessage="0" allowBlank="0" type="decimal" operator="between">
      <formula1>0</formula1>
      <formula2>1</formula2>
    </dataValidation>
    <dataValidation sqref="B3" showDropDown="0" showInputMessage="0" showErrorMessage="0" allowBlank="0" type="decimal" operator="between">
      <formula1>0.5</formula1>
      <formula2>1</formula2>
    </dataValidation>
    <dataValidation sqref="B23" showDropDown="0" showInputMessage="0" showErrorMessage="0" allowBlank="0" type="decimal" operator="between">
      <formula1>0</formula1>
      <formula2>1</formula2>
    </dataValidation>
    <dataValidation sqref="B16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Tier [DRAFT_OP_V5]</t>
        </is>
      </c>
      <c r="B1" s="1" t="inlineStr">
        <is>
          <t>Rate_Per_Session (CAD) [DRAFT_OP_V5]</t>
        </is>
      </c>
    </row>
    <row r="2">
      <c r="A2" s="13" t="inlineStr">
        <is>
          <t>Intern [DRAFT_OP_V5]</t>
        </is>
      </c>
      <c r="B2" s="6" t="n">
        <v>120</v>
      </c>
    </row>
    <row r="3">
      <c r="A3" s="13" t="inlineStr">
        <is>
          <t>Junior [DRAFT_OP_V5]</t>
        </is>
      </c>
      <c r="B3" s="6" t="n">
        <v>150</v>
      </c>
    </row>
    <row r="4">
      <c r="A4" s="13" t="inlineStr">
        <is>
          <t>Senior [DRAFT_OP_V5]</t>
        </is>
      </c>
      <c r="B4" s="6" t="n">
        <v>190</v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Therapist_ID [DRAFT_OP_V5]</t>
        </is>
      </c>
      <c r="B1" s="1" t="inlineStr">
        <is>
          <t>Tier (Intern / Jr / Sr) [DRAFT_OP_V5]</t>
        </is>
      </c>
      <c r="C1" s="1" t="inlineStr">
        <is>
          <t>Weekly_Hours [DRAFT_OP_V5]</t>
        </is>
      </c>
      <c r="D1" s="1" t="inlineStr">
        <is>
          <t>Rate_Per_Session (CAD) [DRAFT_OP_V5]</t>
        </is>
      </c>
      <c r="E1" s="1" t="inlineStr">
        <is>
          <t>Monthly clinic share [DRAFT_OP_V5]</t>
        </is>
      </c>
      <c r="F1" s="1" t="inlineStr">
        <is>
          <t>Monthly gross billing (ref.) [DRAFT_OP_V5]</t>
        </is>
      </c>
    </row>
    <row r="2">
      <c r="A2" s="13" t="n"/>
      <c r="B2" s="13" t="n"/>
      <c r="C2" s="4" t="n"/>
      <c r="D2" s="6" t="n"/>
      <c r="E2" s="11">
        <f>$C2*4*$D2*INPUTS!$B$2</f>
        <v/>
      </c>
      <c r="F2" s="11">
        <f>$C2*4*$D2</f>
        <v/>
      </c>
    </row>
    <row r="3">
      <c r="A3" s="13" t="n"/>
      <c r="B3" s="13" t="n"/>
      <c r="C3" s="4" t="n"/>
      <c r="D3" s="6" t="n"/>
      <c r="E3" s="11">
        <f>$C3*4*$D3*INPUTS!$B$2</f>
        <v/>
      </c>
      <c r="F3" s="11">
        <f>$C3*4*$D3</f>
        <v/>
      </c>
    </row>
    <row r="4">
      <c r="A4" s="13" t="n"/>
      <c r="B4" s="13" t="n"/>
      <c r="C4" s="4" t="n"/>
      <c r="D4" s="6" t="n"/>
      <c r="E4" s="11">
        <f>$C4*4*$D4*INPUTS!$B$2</f>
        <v/>
      </c>
      <c r="F4" s="11">
        <f>$C4*4*$D4</f>
        <v/>
      </c>
    </row>
    <row r="5">
      <c r="A5" s="13" t="n"/>
      <c r="B5" s="13" t="n"/>
      <c r="C5" s="4" t="n"/>
      <c r="D5" s="6" t="n"/>
      <c r="E5" s="11">
        <f>$C5*4*$D5*INPUTS!$B$2</f>
        <v/>
      </c>
      <c r="F5" s="11">
        <f>$C5*4*$D5</f>
        <v/>
      </c>
    </row>
    <row r="6">
      <c r="A6" s="13" t="n"/>
      <c r="B6" s="13" t="n"/>
      <c r="C6" s="4" t="n"/>
      <c r="D6" s="6" t="n"/>
      <c r="E6" s="11">
        <f>$C6*4*$D6*INPUTS!$B$2</f>
        <v/>
      </c>
      <c r="F6" s="11">
        <f>$C6*4*$D6</f>
        <v/>
      </c>
    </row>
    <row r="7">
      <c r="A7" s="13" t="n"/>
      <c r="B7" s="13" t="n"/>
      <c r="C7" s="4" t="n"/>
      <c r="D7" s="6" t="n"/>
      <c r="E7" s="11">
        <f>$C7*4*$D7*INPUTS!$B$2</f>
        <v/>
      </c>
      <c r="F7" s="11">
        <f>$C7*4*$D7</f>
        <v/>
      </c>
    </row>
    <row r="8">
      <c r="A8" s="13" t="n"/>
      <c r="B8" s="13" t="n"/>
      <c r="C8" s="4" t="n"/>
      <c r="D8" s="6" t="n"/>
      <c r="E8" s="11">
        <f>$C8*4*$D8*INPUTS!$B$2</f>
        <v/>
      </c>
      <c r="F8" s="11">
        <f>$C8*4*$D8</f>
        <v/>
      </c>
    </row>
    <row r="9">
      <c r="A9" s="13" t="n"/>
      <c r="B9" s="13" t="n"/>
      <c r="C9" s="4" t="n"/>
      <c r="D9" s="6" t="n"/>
      <c r="E9" s="11">
        <f>$C9*4*$D9*INPUTS!$B$2</f>
        <v/>
      </c>
      <c r="F9" s="11">
        <f>$C9*4*$D9</f>
        <v/>
      </c>
    </row>
    <row r="10">
      <c r="A10" s="13" t="n"/>
      <c r="B10" s="13" t="n"/>
      <c r="C10" s="4" t="n"/>
      <c r="D10" s="6" t="n"/>
      <c r="E10" s="11">
        <f>$C10*4*$D10*INPUTS!$B$2</f>
        <v/>
      </c>
      <c r="F10" s="11">
        <f>$C10*4*$D10</f>
        <v/>
      </c>
    </row>
    <row r="11">
      <c r="A11" s="13" t="n"/>
      <c r="B11" s="13" t="n"/>
      <c r="C11" s="4" t="n"/>
      <c r="D11" s="6" t="n"/>
      <c r="E11" s="11">
        <f>$C11*4*$D11*INPUTS!$B$2</f>
        <v/>
      </c>
      <c r="F11" s="11">
        <f>$C11*4*$D11</f>
        <v/>
      </c>
    </row>
    <row r="12">
      <c r="A12" s="13" t="n"/>
      <c r="B12" s="13" t="n"/>
      <c r="C12" s="4" t="n"/>
      <c r="D12" s="6" t="n"/>
      <c r="E12" s="11">
        <f>$C12*4*$D12*INPUTS!$B$2</f>
        <v/>
      </c>
      <c r="F12" s="11">
        <f>$C12*4*$D12</f>
        <v/>
      </c>
    </row>
    <row r="13">
      <c r="A13" s="13" t="n"/>
      <c r="B13" s="13" t="n"/>
      <c r="C13" s="4" t="n"/>
      <c r="D13" s="6" t="n"/>
      <c r="E13" s="11">
        <f>$C13*4*$D13*INPUTS!$B$2</f>
        <v/>
      </c>
      <c r="F13" s="11">
        <f>$C13*4*$D13</f>
        <v/>
      </c>
    </row>
    <row r="14">
      <c r="A14" s="13" t="n"/>
      <c r="B14" s="13" t="n"/>
      <c r="C14" s="4" t="n"/>
      <c r="D14" s="6" t="n"/>
      <c r="E14" s="11">
        <f>$C14*4*$D14*INPUTS!$B$2</f>
        <v/>
      </c>
      <c r="F14" s="11">
        <f>$C14*4*$D14</f>
        <v/>
      </c>
    </row>
    <row r="15">
      <c r="A15" s="13" t="n"/>
      <c r="B15" s="13" t="n"/>
      <c r="C15" s="4" t="n"/>
      <c r="D15" s="6" t="n"/>
      <c r="E15" s="11">
        <f>$C15*4*$D15*INPUTS!$B$2</f>
        <v/>
      </c>
      <c r="F15" s="11">
        <f>$C15*4*$D15</f>
        <v/>
      </c>
    </row>
    <row r="16">
      <c r="A16" s="13" t="n"/>
      <c r="B16" s="13" t="n"/>
      <c r="C16" s="4" t="n"/>
      <c r="D16" s="6" t="n"/>
      <c r="E16" s="11">
        <f>$C16*4*$D16*INPUTS!$B$2</f>
        <v/>
      </c>
      <c r="F16" s="11">
        <f>$C16*4*$D16</f>
        <v/>
      </c>
    </row>
    <row r="17">
      <c r="A17" s="13" t="n"/>
      <c r="B17" s="13" t="n"/>
      <c r="C17" s="4" t="n"/>
      <c r="D17" s="6" t="n"/>
      <c r="E17" s="11">
        <f>$C17*4*$D17*INPUTS!$B$2</f>
        <v/>
      </c>
      <c r="F17" s="11">
        <f>$C17*4*$D17</f>
        <v/>
      </c>
    </row>
    <row r="18">
      <c r="A18" s="13" t="n"/>
      <c r="B18" s="13" t="n"/>
      <c r="C18" s="4" t="n"/>
      <c r="D18" s="6" t="n"/>
      <c r="E18" s="11">
        <f>$C18*4*$D18*INPUTS!$B$2</f>
        <v/>
      </c>
      <c r="F18" s="11">
        <f>$C18*4*$D18</f>
        <v/>
      </c>
    </row>
    <row r="19">
      <c r="A19" s="13" t="n"/>
      <c r="B19" s="13" t="n"/>
      <c r="C19" s="4" t="n"/>
      <c r="D19" s="6" t="n"/>
      <c r="E19" s="11">
        <f>$C19*4*$D19*INPUTS!$B$2</f>
        <v/>
      </c>
      <c r="F19" s="11">
        <f>$C19*4*$D19</f>
        <v/>
      </c>
    </row>
    <row r="20">
      <c r="A20" s="13" t="n"/>
      <c r="B20" s="13" t="n"/>
      <c r="C20" s="4" t="n"/>
      <c r="D20" s="6" t="n"/>
      <c r="E20" s="11">
        <f>$C20*4*$D20*INPUTS!$B$2</f>
        <v/>
      </c>
      <c r="F20" s="11">
        <f>$C20*4*$D20</f>
        <v/>
      </c>
    </row>
    <row r="21">
      <c r="A21" s="13" t="n"/>
      <c r="B21" s="13" t="n"/>
      <c r="C21" s="4" t="n"/>
      <c r="D21" s="6" t="n"/>
      <c r="E21" s="11">
        <f>$C21*4*$D21*INPUTS!$B$2</f>
        <v/>
      </c>
      <c r="F21" s="11">
        <f>$C21*4*$D21</f>
        <v/>
      </c>
    </row>
    <row r="22">
      <c r="A22" s="1" t="inlineStr">
        <is>
          <t>TOTAL [DRAFT_OP_V5]</t>
        </is>
      </c>
      <c r="E22" s="11">
        <f>SUM(E2:E21)</f>
        <v/>
      </c>
      <c r="F22" s="11">
        <f>SUM(F2:F21)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8" customWidth="1" min="4" max="4"/>
  </cols>
  <sheetData>
    <row r="1">
      <c r="A1" s="14" t="inlineStr">
        <is>
          <t>Operating costs — detail [DRAFT_OP_V5]</t>
        </is>
      </c>
    </row>
    <row r="2"/>
    <row r="3">
      <c r="A3" s="1" t="inlineStr">
        <is>
          <t>Category [DRAFT_OP_V5]</t>
        </is>
      </c>
      <c r="B3" s="1" t="inlineStr">
        <is>
          <t>Monthly CAD [DRAFT_OP_V5]</t>
        </is>
      </c>
      <c r="C3" s="1" t="inlineStr">
        <is>
          <t>Notes [DRAFT_OP_V5] [PENDING_DATA]</t>
        </is>
      </c>
      <c r="D3" s="1" t="inlineStr">
        <is>
          <t>In Path B (light) [DRAFT_OP_V5]</t>
        </is>
      </c>
    </row>
    <row r="4">
      <c r="A4" t="inlineStr">
        <is>
          <t>Professional insurance — QC (psych) [DRAFT_OP_V5]</t>
        </is>
      </c>
      <c r="B4" s="6">
        <f>INPUTS!$B$39</f>
        <v/>
      </c>
      <c r="C4" t="inlineStr">
        <is>
          <t>—</t>
        </is>
      </c>
      <c r="D4" t="inlineStr">
        <is>
          <t>N</t>
        </is>
      </c>
    </row>
    <row r="5">
      <c r="A5" t="inlineStr">
        <is>
          <t>Regulatory compliance — OPQ [DRAFT_OP_V5]</t>
        </is>
      </c>
      <c r="B5" s="6" t="n">
        <v>0</v>
      </c>
      <c r="C5" t="inlineStr">
        <is>
          <t>—</t>
        </is>
      </c>
      <c r="D5" t="inlineStr">
        <is>
          <t>N</t>
        </is>
      </c>
    </row>
    <row r="6">
      <c r="A6" t="inlineStr">
        <is>
          <t>Software — base stack (excl. Jane) [DRAFT_OP_V5]</t>
        </is>
      </c>
      <c r="B6" s="6" t="n">
        <v>0</v>
      </c>
      <c r="C6" t="inlineStr">
        <is>
          <t>—</t>
        </is>
      </c>
      <c r="D6" t="inlineStr">
        <is>
          <t>Y</t>
        </is>
      </c>
    </row>
    <row r="7">
      <c r="A7" t="inlineStr">
        <is>
          <t>Jane App (Compliance) [DRAFT_OP_V5]</t>
        </is>
      </c>
      <c r="B7" s="6">
        <f>INPUTS!$B$33</f>
        <v/>
      </c>
      <c r="C7" t="inlineStr">
        <is>
          <t>—</t>
        </is>
      </c>
      <c r="D7" t="inlineStr">
        <is>
          <t>Y</t>
        </is>
      </c>
    </row>
    <row r="8">
      <c r="A8" t="inlineStr">
        <is>
          <t>Automated marketing (base) [DRAFT_OP_V5]</t>
        </is>
      </c>
      <c r="B8" s="6">
        <f>INPUTS!$B$31</f>
        <v/>
      </c>
      <c r="C8" t="inlineStr">
        <is>
          <t>—</t>
        </is>
      </c>
      <c r="D8" t="inlineStr">
        <is>
          <t>Y</t>
        </is>
      </c>
    </row>
    <row r="9">
      <c r="A9" t="inlineStr">
        <is>
          <t>Domain / Hosting / Phone [DRAFT_OP_V5]</t>
        </is>
      </c>
      <c r="B9" s="6">
        <f>INPUTS!$B$40</f>
        <v/>
      </c>
      <c r="C9" t="inlineStr">
        <is>
          <t>—</t>
        </is>
      </c>
      <c r="D9" t="inlineStr">
        <is>
          <t>Y</t>
        </is>
      </c>
    </row>
    <row r="10">
      <c r="A10" t="inlineStr">
        <is>
          <t>Other operating [DRAFT_OP_V5]</t>
        </is>
      </c>
      <c r="B10" s="6" t="n">
        <v>0</v>
      </c>
      <c r="C10" t="inlineStr">
        <is>
          <t>—</t>
        </is>
      </c>
      <c r="D10" t="inlineStr">
        <is>
          <t>Y</t>
        </is>
      </c>
    </row>
    <row r="11">
      <c r="A11" t="inlineStr">
        <is>
          <t>Municipal license / business registration [DRAFT_OP_V5]</t>
        </is>
      </c>
      <c r="B11" s="6">
        <f>INPUTS!$B$36/12</f>
        <v/>
      </c>
      <c r="C11" t="inlineStr">
        <is>
          <t>—</t>
        </is>
      </c>
      <c r="D11" t="inlineStr">
        <is>
          <t>Y</t>
        </is>
      </c>
    </row>
    <row r="12">
      <c r="A12" t="inlineStr">
        <is>
          <t>Professional liability — Social Work [DRAFT_OP_V5]</t>
        </is>
      </c>
      <c r="B12" s="6">
        <f>INPUTS!$B$37/12</f>
        <v/>
      </c>
      <c r="C12" t="inlineStr">
        <is>
          <t>—</t>
        </is>
      </c>
      <c r="D12" t="inlineStr">
        <is>
          <t>Y</t>
        </is>
      </c>
    </row>
    <row r="13"/>
    <row r="14">
      <c r="A14" s="1" t="inlineStr">
        <is>
          <t>Total monthly (all lines) [DRAFT_OP_V5]</t>
        </is>
      </c>
      <c r="B14" s="11">
        <f>SUM(B4:B12)</f>
        <v/>
      </c>
    </row>
    <row r="15">
      <c r="A15" s="15" t="inlineStr">
        <is>
          <t>Path B — monthly opex (excl. QC ins. + OPQ) [DRAFT_OP_V5]</t>
        </is>
      </c>
      <c r="B15" s="11">
        <f>SUMIF(D4:D12,"Y",B4:B12)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8" customWidth="1" min="4" max="4"/>
  </cols>
  <sheetData>
    <row r="1">
      <c r="A1" s="14" t="inlineStr">
        <is>
          <t>Infrastructure assets — line items (INFRASTRUCTURE_ASSETS.csv) [DRAFT_OP_V5]</t>
        </is>
      </c>
    </row>
    <row r="2"/>
    <row r="3">
      <c r="A3" s="1" t="inlineStr">
        <is>
          <t>Line item [DRAFT_OP_V5]</t>
        </is>
      </c>
      <c r="B3" s="1" t="inlineStr">
        <is>
          <t>Hours [DRAFT_OP_V5]</t>
        </is>
      </c>
      <c r="C3" s="1" t="inlineStr">
        <is>
          <t>Reference rate ($/hr) [DRAFT_OP_V5]</t>
        </is>
      </c>
      <c r="D3" s="1" t="inlineStr">
        <is>
          <t>Value (CAD) [DRAFT_OP_V5]</t>
        </is>
      </c>
    </row>
    <row r="4">
      <c r="A4" s="13" t="inlineStr">
        <is>
          <t>Gemini Architecture [DRAFT_OP_V5]</t>
        </is>
      </c>
      <c r="B4" s="3" t="n">
        <v>18.5</v>
      </c>
      <c r="C4" s="6" t="n">
        <v>125</v>
      </c>
      <c r="D4" s="10">
        <f>B4*C4</f>
        <v/>
      </c>
    </row>
    <row r="5">
      <c r="A5" s="13" t="inlineStr">
        <is>
          <t>ChatGPT Mockups [DRAFT_OP_V5]</t>
        </is>
      </c>
      <c r="B5" s="4" t="n">
        <v>8</v>
      </c>
      <c r="C5" s="6" t="n">
        <v>125</v>
      </c>
      <c r="D5" s="10">
        <f>B5*C5</f>
        <v/>
      </c>
    </row>
    <row r="6">
      <c r="A6" s="13" t="inlineStr">
        <is>
          <t>Grok Research [DRAFT_OP_V5]</t>
        </is>
      </c>
      <c r="B6" s="4" t="n">
        <v>4</v>
      </c>
      <c r="C6" s="6" t="n">
        <v>125</v>
      </c>
      <c r="D6" s="10">
        <f>B6*C6</f>
        <v/>
      </c>
    </row>
    <row r="7">
      <c r="A7" s="13" t="inlineStr">
        <is>
          <t>Systems Integration (Cursor) [DRAFT_OP_V5]</t>
        </is>
      </c>
      <c r="B7" s="4" t="n">
        <v>2</v>
      </c>
      <c r="C7" s="6" t="n">
        <v>125</v>
      </c>
      <c r="D7" s="10">
        <f>B7*C7</f>
        <v/>
      </c>
    </row>
    <row r="8">
      <c r="A8" s="13" t="inlineStr">
        <is>
          <t>Software Subscriptions (Cursor/Tools) [DRAFT_OP_V5]</t>
        </is>
      </c>
      <c r="B8" s="4" t="n">
        <v>0</v>
      </c>
      <c r="C8" s="6" t="n">
        <v>0</v>
      </c>
      <c r="D8" s="10" t="n">
        <v>0</v>
      </c>
    </row>
    <row r="9">
      <c r="A9" s="1" t="inlineStr">
        <is>
          <t>Total — line-item value (CAD) [DRAFT_OP_V5]</t>
        </is>
      </c>
      <c r="B9" s="11">
        <f>SUM(D4:D8)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4" t="inlineStr">
        <is>
          <t>CAPEX_SUMMARY [DRAFT_OP_V5]</t>
        </is>
      </c>
    </row>
    <row r="2"/>
    <row r="3">
      <c r="A3" t="inlineStr">
        <is>
          <t>Total Initial Valuation (CAD)</t>
        </is>
      </c>
      <c r="B3" s="16">
        <f>INFRASTRUCTURE_ASSETS!$B$9</f>
        <v/>
      </c>
    </row>
    <row r="4">
      <c r="A4" t="inlineStr">
        <is>
          <t>Architect's System Contribution</t>
        </is>
      </c>
      <c r="B4" s="16">
        <f>B3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Partnership structure — ownership [DRAFT_OP_V5]</t>
        </is>
      </c>
    </row>
    <row r="2">
      <c r="A2" t="inlineStr">
        <is>
          <t>Post-money valuation (CAD) [DRAFT_OP_V5]</t>
        </is>
      </c>
      <c r="B2" s="6" t="n">
        <v>0</v>
      </c>
    </row>
    <row r="3"/>
    <row r="4">
      <c r="A4" s="1" t="inlineStr">
        <is>
          <t>Party [DRAFT_OP_V5]</t>
        </is>
      </c>
      <c r="B4" s="1" t="inlineStr">
        <is>
          <t>Capital ($) [DRAFT_OP_V5]</t>
        </is>
      </c>
      <c r="C4" s="1" t="inlineStr">
        <is>
          <t>Sweat hrs [DRAFT_OP_V5]</t>
        </is>
      </c>
      <c r="D4" s="1" t="inlineStr">
        <is>
          <t>Rate ($) [DRAFT_OP_V5]</t>
        </is>
      </c>
      <c r="E4" s="1" t="inlineStr">
        <is>
          <t>Contribution [DRAFT_OP_V5]</t>
        </is>
      </c>
      <c r="F4" s="1" t="inlineStr">
        <is>
          <t>% Own [DRAFT_OP_V5]</t>
        </is>
      </c>
    </row>
    <row r="5">
      <c r="A5" s="13" t="inlineStr">
        <is>
          <t>Principal A (infrastructure) [DRAFT_OP_V5]</t>
        </is>
      </c>
      <c r="B5" s="6" t="n">
        <v>0</v>
      </c>
      <c r="C5" s="13" t="n">
        <v>0</v>
      </c>
      <c r="D5" s="6" t="n">
        <v>0</v>
      </c>
      <c r="E5" s="11">
        <f>B5+C5*D5+INFRASTRUCTURE_ASSETS!$B$9</f>
        <v/>
      </c>
      <c r="F5" s="17">
        <f>IF(SUM($E$5:$E$8)=0,0,E5/SUM($E$5:$E$8))</f>
        <v/>
      </c>
    </row>
    <row r="6">
      <c r="A6" s="13" t="inlineStr">
        <is>
          <t>Partner L [DRAFT_OP_V5]</t>
        </is>
      </c>
      <c r="B6" s="6" t="n">
        <v>0</v>
      </c>
      <c r="C6" s="13" t="n">
        <v>0</v>
      </c>
      <c r="D6" s="6" t="n">
        <v>0</v>
      </c>
      <c r="E6" s="11">
        <f>B6+C6*D6</f>
        <v/>
      </c>
      <c r="F6" s="17">
        <f>IF(SUM($E$5:$E$8)=0,0,E6/SUM($E$5:$E$8))</f>
        <v/>
      </c>
    </row>
    <row r="7">
      <c r="A7" s="13" t="inlineStr">
        <is>
          <t>Principal C [DRAFT_OP_V5]</t>
        </is>
      </c>
      <c r="B7" s="6" t="n">
        <v>0</v>
      </c>
      <c r="C7" s="13" t="n">
        <v>0</v>
      </c>
      <c r="D7" s="6" t="n">
        <v>0</v>
      </c>
      <c r="E7" s="11">
        <f>B7+C7*D7</f>
        <v/>
      </c>
      <c r="F7" s="17">
        <f>IF(SUM($E$5:$E$8)=0,0,E7/SUM($E$5:$E$8))</f>
        <v/>
      </c>
    </row>
    <row r="8">
      <c r="A8" s="13" t="inlineStr">
        <is>
          <t>Director (res.) [DRAFT_OP_V5]</t>
        </is>
      </c>
      <c r="B8" s="6" t="n">
        <v>0</v>
      </c>
      <c r="C8" s="13" t="n">
        <v>0</v>
      </c>
      <c r="D8" s="6" t="n">
        <v>0</v>
      </c>
      <c r="E8" s="11">
        <f>B8+C8*D8</f>
        <v/>
      </c>
      <c r="F8" s="17">
        <f>IF(SUM($E$5:$E$8)=0,0,E8/SUM($E$5:$E$8))</f>
        <v/>
      </c>
    </row>
    <row r="9"/>
    <row r="10"/>
    <row r="11"/>
    <row r="12"/>
    <row r="13">
      <c r="A13" t="inlineStr">
        <is>
          <t>Total [DRAFT_OP_V5]</t>
        </is>
      </c>
      <c r="B13" s="11">
        <f>SUM(E5:E8)</f>
        <v/>
      </c>
    </row>
    <row r="14">
      <c r="A14" t="inlineStr">
        <is>
          <t>Δ vs post-money [DRAFT_OP_V5]</t>
        </is>
      </c>
      <c r="B14" s="11">
        <f>B13-B2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1" t="inlineStr">
        <is>
          <t>METRIC [DRAFT_OP_V5]</t>
        </is>
      </c>
      <c r="B1" s="1" t="inlineStr">
        <is>
          <t>VALUE [DRAFT_OP_V5]</t>
        </is>
      </c>
    </row>
    <row r="2"/>
    <row r="3">
      <c r="A3" t="inlineStr">
        <is>
          <t>Director — clinic share revenue (solvency anchor) [DRAFT_OP_V5]</t>
        </is>
      </c>
      <c r="B3" s="18">
        <f>INPUTS!$B$9*INPUTS!$B$10*INPUTS!$B$2</f>
        <v/>
      </c>
    </row>
    <row r="4">
      <c r="A4" t="inlineStr">
        <is>
          <t>Roster — clinic share [DRAFT_OP_V5]</t>
        </is>
      </c>
      <c r="B4" s="18">
        <f>ROSTER!$E$22</f>
        <v/>
      </c>
    </row>
    <row r="5">
      <c r="A5" t="inlineStr">
        <is>
          <t>Total clinic margin [DRAFT_OP_V5]</t>
        </is>
      </c>
      <c r="B5" s="18">
        <f>B3+B4</f>
        <v/>
      </c>
    </row>
    <row r="6">
      <c r="A6" t="inlineStr">
        <is>
          <t>Operating_Costs (incl. director hybrid pay) [DRAFT_OP_V5]</t>
        </is>
      </c>
      <c r="B6" s="18">
        <f>(OPERATING_COSTS!$B$14+IF(COUNTA(ROSTER!$A$2:$A$21)&gt;=INPUTS!$B$12,INPUTS!$B$15,0)+INPUTS!$B$13*INPUTS!$B$14+IF(COUNTA(ROSTER!$A$2:$A$21)&lt;INPUTS!$B$12,0,IF(INPUTS!$B$16&gt;0,ROSTER!$F$22*INPUTS!$B$16,IF(INPUTS!$B$17&gt;0,SUM(ROSTER!$C$2:$C$21)*4*INPUTS!$B$17,0)))+INPUTS!$B$7*INPUTS!$B$8+INPUTS!$B$9*INPUTS!$B$11)</f>
        <v/>
      </c>
    </row>
    <row r="7">
      <c r="A7" t="inlineStr">
        <is>
          <t>Partner_L_Draw (fixed) [DRAFT_OP_V5]</t>
        </is>
      </c>
      <c r="B7" s="18">
        <f>INPUTS!$B$6</f>
        <v/>
      </c>
    </row>
    <row r="8">
      <c r="A8" t="inlineStr">
        <is>
          <t>Pre-tax (before adjustment reserve) [DRAFT_OP_V5]</t>
        </is>
      </c>
      <c r="B8" s="18">
        <f>B5-B6-B7</f>
        <v/>
      </c>
    </row>
    <row r="9">
      <c r="A9" t="inlineStr">
        <is>
          <t>Tax [DRAFT_OP_V5]</t>
        </is>
      </c>
      <c r="B9" s="18">
        <f>IF(B8&gt;0,B8*INPUTS!$B$19,0)</f>
        <v/>
      </c>
    </row>
    <row r="10">
      <c r="A10" t="inlineStr">
        <is>
          <t>Net after tax (before ADJUSTMENT_RESERVE) [DRAFT_OP_V5]</t>
        </is>
      </c>
      <c r="B10" s="18">
        <f>B8-B9</f>
        <v/>
      </c>
    </row>
    <row r="11">
      <c r="A11" t="inlineStr">
        <is>
          <t>ADJUSTMENT_RESERVE (INPUTS — last lever) [DRAFT_OP_V5]</t>
        </is>
      </c>
      <c r="B11" s="18">
        <f>INPUTS!$B$41</f>
        <v/>
      </c>
    </row>
    <row r="12">
      <c r="A12" t="inlineStr">
        <is>
          <t>Net profit (final) [DRAFT_OP_V5]</t>
        </is>
      </c>
      <c r="B12" s="18">
        <f>B10+B11</f>
        <v/>
      </c>
    </row>
    <row r="13">
      <c r="A13" t="inlineStr">
        <is>
          <t>Alert — equity redemption [DRAFT_OP_V5]</t>
        </is>
      </c>
      <c r="B13">
        <f>IF(B12&lt;INPUTS!$B$6,"EQUITY REDEMPTION REQUIRED","")</f>
        <v/>
      </c>
    </row>
    <row r="14">
      <c r="A14" t="inlineStr">
        <is>
          <t>Validation — solvency (ops + draw &gt; margin) [DRAFT_OP_V5]</t>
        </is>
      </c>
      <c r="B14">
        <f>IF(B6+B7&gt;B5,"WARNING: CLINIC INSOLVENT","")</f>
        <v/>
      </c>
    </row>
    <row r="15"/>
    <row r="16">
      <c r="A16" t="inlineStr">
        <is>
          <t>Reference — therapist-side (1 − Clinic %) × gross [DRAFT_OP_V5]</t>
        </is>
      </c>
      <c r="B16" s="18">
        <f>ROSTER!$F$22*(1-INPUTS!$B$2)</f>
        <v/>
      </c>
    </row>
    <row r="17">
      <c r="A17" t="inlineStr">
        <is>
          <t>Break-even — roster gross (approx.) [DRAFT_OP_V5]</t>
        </is>
      </c>
      <c r="B17" s="18">
        <f>IF(ROSTER!$F$22&lt;=0,0,IF(INPUTS!$B$2&lt;=0,0,(OPERATING_COSTS!$B$14+IF(COUNTA(ROSTER!$A$2:$A$21)&gt;=INPUTS!$B$12,INPUTS!$B$15,0)+INPUTS!$B$13*INPUTS!$B$14+IF(COUNTA(ROSTER!$A$2:$A$21)&lt;INPUTS!$B$12,0,IF(INPUTS!$B$16&gt;0,ROSTER!$F$22*INPUTS!$B$16,IF(INPUTS!$B$17&gt;0,SUM(ROSTER!$C$2:$C$21)*4*INPUTS!$B$17,0))))/INPUTS!$B$2))</f>
        <v/>
      </c>
    </row>
    <row r="18">
      <c r="A18" t="inlineStr">
        <is>
          <t>Dividend pool [DRAFT_OP_V5]</t>
        </is>
      </c>
      <c r="B18" s="18">
        <f>IF(B12&gt;0,B12*INPUTS!$B$23,0)</f>
        <v/>
      </c>
    </row>
    <row r="19">
      <c r="A19" t="inlineStr">
        <is>
          <t>Dividend — Principal A [DRAFT_OP_V5]</t>
        </is>
      </c>
      <c r="B19" s="18">
        <f>$B$18*PARTNERSHIP_STRUCTURE!$F$5</f>
        <v/>
      </c>
    </row>
    <row r="20">
      <c r="A20" t="inlineStr">
        <is>
          <t>Dividend — Partner L [DRAFT_OP_V5]</t>
        </is>
      </c>
      <c r="B20" s="18">
        <f>$B$18*PARTNERSHIP_STRUCTURE!$F$6</f>
        <v/>
      </c>
    </row>
    <row r="21">
      <c r="A21" t="inlineStr">
        <is>
          <t>Dividend — Principal C [DRAFT_OP_V5]</t>
        </is>
      </c>
      <c r="B21" s="18">
        <f>$B$18*PARTNERSHIP_STRUCTURE!$F$7</f>
        <v/>
      </c>
    </row>
    <row r="22">
      <c r="A22" t="inlineStr">
        <is>
          <t>Dividend — Director (reserved) [DRAFT_OP_V5]</t>
        </is>
      </c>
      <c r="B22" s="18">
        <f>$B$18*PARTNERSHIP_STRUCTURE!$F$8</f>
        <v/>
      </c>
    </row>
    <row r="23">
      <c r="A23" t="inlineStr">
        <is>
          <t>Check (pool) [DRAFT_OP_V5]</t>
        </is>
      </c>
      <c r="B23" s="18">
        <f>B18-SUM(B19:B22)</f>
        <v/>
      </c>
    </row>
    <row r="24">
      <c r="A24" t="inlineStr">
        <is>
          <t>Payback (months) [DRAFT_OP_V5]</t>
        </is>
      </c>
      <c r="B24">
        <f>IF(AND(B12&gt;0,INPUTS!$B$42&gt;0),INPUTS!$B$42/B12,"—")</f>
        <v/>
      </c>
    </row>
    <row r="25">
      <c r="A25" t="inlineStr">
        <is>
          <t>Roster hours — investor scale (ref.) [DRAFT_OP_V5]</t>
        </is>
      </c>
      <c r="B25">
        <f>IF(OR(B19&lt;=0,INPUTS!$B$21&lt;=0),"—",ROUNDUP(SUM(ROSTER!$C$2:$C$21)*(INPUTS!$B$21/B19),1))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conditionalFormatting sqref="B12">
    <cfRule type="expression" priority="1" dxfId="0" stopIfTrue="1">
      <formula>B12&lt;0</formula>
    </cfRule>
  </conditionalFormatting>
  <conditionalFormatting sqref="B13">
    <cfRule type="expression" priority="2" dxfId="0" stopIfTrue="1">
      <formula>$B$12&lt;INPUTS!$B$6</formula>
    </cfRule>
  </conditionalFormatting>
  <conditionalFormatting sqref="B8">
    <cfRule type="expression" priority="3" dxfId="0" stopIfTrue="1">
      <formula>B8&lt;0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 [DRAFT_OP_V5]</t>
        </is>
      </c>
      <c r="B1" t="n">
        <v>1</v>
      </c>
      <c r="C1" t="n">
        <v>2</v>
      </c>
      <c r="D1" t="n">
        <v>3</v>
      </c>
      <c r="E1" t="n">
        <v>5</v>
      </c>
      <c r="F1" t="n">
        <v>8</v>
      </c>
    </row>
    <row r="2">
      <c r="A2" t="inlineStr">
        <is>
          <t>Clinic margin (scaled) [DRAFT_OP_V5]</t>
        </is>
      </c>
      <c r="B2" s="18">
        <f>IF(COUNTA(ROSTER!$A$2:$A$21)=0,0,MODEL!$B$5*(B$1/MAX(COUNTA(ROSTER!$A$2:$A$21),1)))</f>
        <v/>
      </c>
      <c r="C2" s="18">
        <f>IF(COUNTA(ROSTER!$A$2:$A$21)=0,0,MODEL!$B$5*(C$1/MAX(COUNTA(ROSTER!$A$2:$A$21),1)))</f>
        <v/>
      </c>
      <c r="D2" s="18">
        <f>IF(COUNTA(ROSTER!$A$2:$A$21)=0,0,MODEL!$B$5*(D$1/MAX(COUNTA(ROSTER!$A$2:$A$21),1)))</f>
        <v/>
      </c>
      <c r="E2" s="18">
        <f>IF(COUNTA(ROSTER!$A$2:$A$21)=0,0,MODEL!$B$5*(E$1/MAX(COUNTA(ROSTER!$A$2:$A$21),1)))</f>
        <v/>
      </c>
      <c r="F2" s="18">
        <f>IF(COUNTA(ROSTER!$A$2:$A$21)=0,0,MODEL!$B$5*(F$1/MAX(COUNTA(ROSTER!$A$2:$A$21),1)))</f>
        <v/>
      </c>
    </row>
    <row r="3">
      <c r="A3" t="inlineStr">
        <is>
          <t>Operating costs (scaled) [DRAFT_OP_V5]</t>
        </is>
      </c>
      <c r="B3" s="18">
        <f>IF(COUNTA(ROSTER!$A$2:$A$21)=0,0,MODEL!$B$6*(B$1/MAX(COUNTA(ROSTER!$A$2:$A$21),1)))</f>
        <v/>
      </c>
      <c r="C3" s="18">
        <f>IF(COUNTA(ROSTER!$A$2:$A$21)=0,0,MODEL!$B$6*(C$1/MAX(COUNTA(ROSTER!$A$2:$A$21),1)))</f>
        <v/>
      </c>
      <c r="D3" s="18">
        <f>IF(COUNTA(ROSTER!$A$2:$A$21)=0,0,MODEL!$B$6*(D$1/MAX(COUNTA(ROSTER!$A$2:$A$21),1)))</f>
        <v/>
      </c>
      <c r="E3" s="18">
        <f>IF(COUNTA(ROSTER!$A$2:$A$21)=0,0,MODEL!$B$6*(E$1/MAX(COUNTA(ROSTER!$A$2:$A$21),1)))</f>
        <v/>
      </c>
      <c r="F3" s="18">
        <f>IF(COUNTA(ROSTER!$A$2:$A$21)=0,0,MODEL!$B$6*(F$1/MAX(COUNTA(ROSTER!$A$2:$A$21),1)))</f>
        <v/>
      </c>
    </row>
    <row r="4">
      <c r="A4" t="inlineStr">
        <is>
          <t>Pre-tax after draw [DRAFT_OP_V5]</t>
        </is>
      </c>
      <c r="B4" s="18">
        <f>B2-B3-INPUTS!$B$6</f>
        <v/>
      </c>
      <c r="C4" s="18">
        <f>C2-C3-INPUTS!$B$6</f>
        <v/>
      </c>
      <c r="D4" s="18">
        <f>D2-D3-INPUTS!$B$6</f>
        <v/>
      </c>
      <c r="E4" s="18">
        <f>E2-E3-INPUTS!$B$6</f>
        <v/>
      </c>
      <c r="F4" s="18">
        <f>F2-F3-INPUTS!$B$6</f>
        <v/>
      </c>
    </row>
    <row r="5">
      <c r="A5" t="inlineStr">
        <is>
          <t>Net (tax approx) [DRAFT_OP_V5]</t>
        </is>
      </c>
      <c r="B5" s="18">
        <f>IF(B4&gt;0,B4*(1-INPUTS!$B$19),B4)</f>
        <v/>
      </c>
      <c r="C5" s="18">
        <f>IF(C4&gt;0,C4*(1-INPUTS!$B$19),C4)</f>
        <v/>
      </c>
      <c r="D5" s="18">
        <f>IF(D4&gt;0,D4*(1-INPUTS!$B$19),D4)</f>
        <v/>
      </c>
      <c r="E5" s="18">
        <f>IF(E4&gt;0,E4*(1-INPUTS!$B$19),E4)</f>
        <v/>
      </c>
      <c r="F5" s="18">
        <f>IF(F4&gt;0,F4*(1-INPUTS!$B$19),F4)</f>
        <v/>
      </c>
    </row>
    <row r="6">
      <c r="A6" t="inlineStr">
        <is>
          <t>Dividend pool (approx) [DRAFT_OP_V5]</t>
        </is>
      </c>
      <c r="B6" s="18">
        <f>B5*INPUTS!$B$23</f>
        <v/>
      </c>
      <c r="C6" s="18">
        <f>C5*INPUTS!$B$23</f>
        <v/>
      </c>
      <c r="D6" s="18">
        <f>D5*INPUTS!$B$23</f>
        <v/>
      </c>
      <c r="E6" s="18">
        <f>E5*INPUTS!$B$23</f>
        <v/>
      </c>
      <c r="F6" s="18">
        <f>F5*INPUTS!$B$23</f>
        <v/>
      </c>
    </row>
    <row r="7"/>
    <row r="8">
      <c r="A8" s="1" t="inlineStr">
        <is>
          <t>Clinic % sensitivity — net profit [DRAFT_OP_V5]</t>
        </is>
      </c>
    </row>
    <row r="9">
      <c r="A9" t="inlineStr">
        <is>
          <t>Clinic % [DRAFT_OP_V5]</t>
        </is>
      </c>
      <c r="B9" s="17" t="n">
        <v>0.33</v>
      </c>
      <c r="C9" s="17" t="n">
        <v>0.4</v>
      </c>
      <c r="D9" s="17" t="n">
        <v>0.5</v>
      </c>
    </row>
    <row r="10">
      <c r="A10" t="inlineStr">
        <is>
          <t>Net profit (approx) [DRAFT_OP_V5]</t>
        </is>
      </c>
      <c r="B10" s="18">
        <f>IF((ROSTER!$F$22*B9+INPUTS!$B$9*INPUTS!$B$10*B9-MODEL!$B$6-INPUTS!$B$6)&gt;0,(ROSTER!$F$22*B9+INPUTS!$B$9*INPUTS!$B$10*B9-MODEL!$B$6-INPUTS!$B$6)*(1-INPUTS!$B$19),(ROSTER!$F$22*B9+INPUTS!$B$9*INPUTS!$B$10*B9-MODEL!$B$6-INPUTS!$B$6))</f>
        <v/>
      </c>
      <c r="C10" s="18">
        <f>IF((ROSTER!$F$22*C9+INPUTS!$B$9*INPUTS!$B$10*C9-MODEL!$B$6-INPUTS!$B$6)&gt;0,(ROSTER!$F$22*C9+INPUTS!$B$9*INPUTS!$B$10*C9-MODEL!$B$6-INPUTS!$B$6)*(1-INPUTS!$B$19),(ROSTER!$F$22*C9+INPUTS!$B$9*INPUTS!$B$10*C9-MODEL!$B$6-INPUTS!$B$6))</f>
        <v/>
      </c>
      <c r="D10" s="18">
        <f>IF((ROSTER!$F$22*D9+INPUTS!$B$9*INPUTS!$B$10*D9-MODEL!$B$6-INPUTS!$B$6)&gt;0,(ROSTER!$F$22*D9+INPUTS!$B$9*INPUTS!$B$10*D9-MODEL!$B$6-INPUTS!$B$6)*(1-INPUTS!$B$19),(ROSTER!$F$22*D9+INPUTS!$B$9*INPUTS!$B$10*D9-MODEL!$B$6-INPUTS!$B$6))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conditionalFormatting sqref="B4:F6">
    <cfRule type="expression" priority="1" dxfId="0" stopIfTrue="1">
      <formula>B4&lt;0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Scenario B — light [DRAFT_OP_V5]</t>
        </is>
      </c>
    </row>
    <row r="2">
      <c r="A2" t="inlineStr">
        <is>
          <t>Session price — low [DRAFT_OP_V5]</t>
        </is>
      </c>
      <c r="B2" s="6" t="n">
        <v>120</v>
      </c>
    </row>
    <row r="3">
      <c r="A3" t="inlineStr">
        <is>
          <t>Session price — high [DRAFT_OP_V5]</t>
        </is>
      </c>
      <c r="B3" s="6" t="n">
        <v>150</v>
      </c>
    </row>
    <row r="4">
      <c r="A4" t="inlineStr">
        <is>
          <t>Midpoint [DRAFT_OP_V5]</t>
        </is>
      </c>
      <c r="B4" s="11">
        <f>(B2+B3)/2</f>
        <v/>
      </c>
    </row>
    <row r="5">
      <c r="A5" t="inlineStr">
        <is>
          <t>Clinic % [DRAFT_OP_V5]</t>
        </is>
      </c>
      <c r="B5">
        <f>INPUTS!$B$2</f>
        <v/>
      </c>
    </row>
    <row r="6">
      <c r="A6" t="inlineStr">
        <is>
          <t>Revenue / session [DRAFT_OP_V5]</t>
        </is>
      </c>
      <c r="B6" s="11">
        <f>B4*B5</f>
        <v/>
      </c>
    </row>
    <row r="7">
      <c r="A7" t="inlineStr">
        <is>
          <t>Monthly session-equiv (roster hours × 4) [DRAFT_OP_V5]</t>
        </is>
      </c>
      <c r="B7" s="18">
        <f>SUM(ROSTER!$C$2:$C$21)*4</f>
        <v/>
      </c>
    </row>
    <row r="8">
      <c r="A8" t="inlineStr">
        <is>
          <t>Monthly revenue [DRAFT_OP_V5]</t>
        </is>
      </c>
      <c r="B8" s="11">
        <f>B7*B6</f>
        <v/>
      </c>
    </row>
    <row r="9">
      <c r="A9" t="inlineStr">
        <is>
          <t>Opex Path B [DRAFT_OP_V5]</t>
        </is>
      </c>
      <c r="B9" s="18">
        <f>OPERATING_COSTS!$B$15</f>
        <v/>
      </c>
    </row>
    <row r="10">
      <c r="A10" t="inlineStr">
        <is>
          <t>Supervision (excl.) [DRAFT_OP_V5]</t>
        </is>
      </c>
      <c r="B10" s="18" t="n">
        <v>0</v>
      </c>
    </row>
    <row r="11">
      <c r="A11" t="inlineStr">
        <is>
          <t>Admin flat [DRAFT_OP_V5]</t>
        </is>
      </c>
      <c r="B11" s="18">
        <f>IF(COUNTA(ROSTER!$A$2:$A$21)&gt;=INPUTS!$B$12,INPUTS!$B$15,0)</f>
        <v/>
      </c>
    </row>
    <row r="12">
      <c r="A12" t="inlineStr">
        <is>
          <t>Total costs [DRAFT_OP_V5]</t>
        </is>
      </c>
      <c r="B12" s="18">
        <f>B9+B10+B11</f>
        <v/>
      </c>
    </row>
    <row r="13"/>
    <row r="14">
      <c r="A14" t="inlineStr">
        <is>
          <t>PBT [DRAFT_OP_V5]</t>
        </is>
      </c>
      <c r="B14" s="18">
        <f>B8-B12</f>
        <v/>
      </c>
    </row>
    <row r="15">
      <c r="A15" t="inlineStr">
        <is>
          <t>Tax [DRAFT_OP_V5]</t>
        </is>
      </c>
      <c r="B15" s="18">
        <f>IF(B14&gt;0,B14*INPUTS!$B$19,0)</f>
        <v/>
      </c>
    </row>
    <row r="16">
      <c r="A16" t="inlineStr">
        <is>
          <t>Net [DRAFT_OP_V5]</t>
        </is>
      </c>
      <c r="B16" s="11">
        <f>B14-B15</f>
        <v/>
      </c>
    </row>
    <row r="17"/>
    <row r="18">
      <c r="A18" t="inlineStr">
        <is>
          <t>ROI vs initial [DRAFT_OP_V5]</t>
        </is>
      </c>
      <c r="B18" s="17">
        <f>IF(INPUTS!$B$42&lt;=0,"—",(B16*12)/INPUTS!$B$42)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Partner_L — fixed draw vs modeled economics [DRAFT_OP_V5]</t>
        </is>
      </c>
    </row>
    <row r="2"/>
    <row r="3">
      <c r="A3" t="inlineStr">
        <is>
          <t>Partner_L_Draw (target) [DRAFT_OP_V5]</t>
        </is>
      </c>
      <c r="B3" s="11">
        <f>INPUTS!$B$6</f>
        <v/>
      </c>
    </row>
    <row r="4">
      <c r="A4" t="inlineStr">
        <is>
          <t>Net profit (MODEL) [DRAFT_OP_V5]</t>
        </is>
      </c>
      <c r="B4" s="11">
        <f>MODEL!$B$12</f>
        <v/>
      </c>
    </row>
    <row r="5">
      <c r="A5" t="inlineStr">
        <is>
          <t>Partner_L dividend (PARTNERSHIP_STRUCTURE) [DRAFT_OP_V5]</t>
        </is>
      </c>
      <c r="B5" s="11">
        <f>MODEL!$B$20</f>
        <v/>
      </c>
    </row>
    <row r="6">
      <c r="A6" t="inlineStr">
        <is>
          <t>Gap (draw − dividend) [DRAFT_OP_V5]</t>
        </is>
      </c>
      <c r="B6" s="11">
        <f>MAX(0,B3-B5)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38"/>
  <sheetViews>
    <sheetView showGridLines="0" workbookViewId="0">
      <selection activeCell="A1" sqref="A1"/>
    </sheetView>
  </sheetViews>
  <sheetFormatPr baseColWidth="8" defaultRowHeight="15"/>
  <cols>
    <col width="24" customWidth="1" min="13" max="13"/>
    <col width="14" customWidth="1" min="14" max="14"/>
  </cols>
  <sheetData>
    <row r="1"/>
    <row r="2">
      <c r="A2" s="19" t="inlineStr">
        <is>
          <t>Total clinic margin [DRAFT_OP_V5]</t>
        </is>
      </c>
      <c r="B2" s="20">
        <f>MODEL!B5</f>
        <v/>
      </c>
    </row>
    <row r="3">
      <c r="A3" s="19" t="inlineStr">
        <is>
          <t>Net profit (final) [DRAFT_OP_V5]</t>
        </is>
      </c>
      <c r="B3" s="20">
        <f>MODEL!B12</f>
        <v/>
      </c>
    </row>
    <row r="4">
      <c r="A4" s="19" t="inlineStr">
        <is>
          <t>Break-even gross (roster ref.) [DRAFT_OP_V5]</t>
        </is>
      </c>
      <c r="B4" s="20">
        <f>MODEL!B17</f>
        <v/>
      </c>
    </row>
    <row r="5">
      <c r="A5" s="19" t="inlineStr">
        <is>
          <t>Payback [DRAFT_OP_V5]</t>
        </is>
      </c>
      <c r="B5" s="21">
        <f>MODEL!B24</f>
        <v/>
      </c>
    </row>
    <row r="6">
      <c r="A6" s="19" t="inlineStr">
        <is>
          <t>Dividend pool [DRAFT_OP_V5]</t>
        </is>
      </c>
      <c r="B6" s="20">
        <f>MODEL!B18</f>
        <v/>
      </c>
    </row>
    <row r="7">
      <c r="A7" s="19" t="inlineStr">
        <is>
          <t>Investor scale (hours) [DRAFT_OP_V5]</t>
        </is>
      </c>
      <c r="B7" s="21">
        <f>MODEL!B25</f>
        <v/>
      </c>
    </row>
    <row r="8">
      <c r="A8" s="19" t="inlineStr">
        <is>
          <t>Path B net [DRAFT_OP_V5]</t>
        </is>
      </c>
      <c r="B8" s="20">
        <f>SCENARIO_B_LIGHT!B16</f>
        <v/>
      </c>
    </row>
    <row r="9">
      <c r="A9" s="19" t="inlineStr">
        <is>
          <t>Partner_L coverage gap [DRAFT_OP_V5]</t>
        </is>
      </c>
      <c r="B9" s="20">
        <f>PARTNER_L_COVERAGE!B6</f>
        <v/>
      </c>
    </row>
    <row r="10">
      <c r="A10" s="19" t="inlineStr">
        <is>
          <t>Solvency [DRAFT_OP_V5]</t>
        </is>
      </c>
      <c r="B10" s="21">
        <f>MODEL!B14</f>
        <v/>
      </c>
    </row>
    <row r="11">
      <c r="A11" s="19" t="inlineStr">
        <is>
          <t>Initial capital — valuation (INITIAL_CAPITAL_VALUATION.csv) [DRAFT_OP_V5]</t>
        </is>
      </c>
      <c r="B11" s="20">
        <f>INPUTS!$B$26</f>
        <v/>
      </c>
    </row>
    <row r="12">
      <c r="A12" s="19" t="inlineStr">
        <is>
          <t>ROI — initial capital (valuation) [DRAFT_OP_V5]</t>
        </is>
      </c>
      <c r="B12" s="22">
        <f>IF(INPUTS!$B$26&lt;=0,"—",(MODEL!$B$12*12)/INPUTS!$B$26)</f>
        <v/>
      </c>
    </row>
    <row r="13">
      <c r="A13" s="19" t="inlineStr">
        <is>
          <t>Redemption alert [DRAFT_OP_V5]</t>
        </is>
      </c>
      <c r="B13" s="21">
        <f>MODEL!B13</f>
        <v/>
      </c>
    </row>
    <row r="14"/>
    <row r="15"/>
    <row r="16"/>
    <row r="17"/>
    <row r="18"/>
    <row r="19"/>
    <row r="20"/>
    <row r="21"/>
    <row r="22"/>
    <row r="23"/>
    <row r="24" ht="28" customHeight="1">
      <c r="A24" s="23" t="inlineStr">
        <is>
          <t>Clinical Operations System — Master Dossier (Print View) [DRAFT_OP_V5]</t>
        </is>
      </c>
    </row>
    <row r="25">
      <c r="A25" s="24" t="inlineStr">
        <is>
          <t>Total clinic margin (CAD/mo)</t>
        </is>
      </c>
      <c r="B25" s="25">
        <f>MODEL!B5</f>
        <v/>
      </c>
    </row>
    <row r="26">
      <c r="A26" s="24" t="inlineStr">
        <is>
          <t>Net profit — final (CAD/mo)</t>
        </is>
      </c>
      <c r="B26" s="25">
        <f>MODEL!B12</f>
        <v/>
      </c>
    </row>
    <row r="27">
      <c r="A27" s="24" t="inlineStr">
        <is>
          <t>Partner_L_Draw (CAD/mo)</t>
        </is>
      </c>
      <c r="B27" s="25">
        <f>INPUTS!B6</f>
        <v/>
      </c>
    </row>
    <row r="28">
      <c r="A28" s="24" t="inlineStr">
        <is>
          <t>Redemption flag (MODEL)</t>
        </is>
      </c>
      <c r="B28" s="26">
        <f>MODEL!B13</f>
        <v/>
      </c>
    </row>
    <row r="29">
      <c r="A29" s="24" t="inlineStr">
        <is>
          <t>Initial capital — line-item audit (INPUTS)</t>
        </is>
      </c>
      <c r="B29" s="25">
        <f>INPUTS!B25</f>
        <v/>
      </c>
    </row>
    <row r="30"/>
    <row r="31"/>
    <row r="32"/>
    <row r="33"/>
    <row r="34"/>
    <row r="35"/>
    <row r="36"/>
    <row r="37">
      <c r="M37" s="27" t="inlineStr">
        <is>
          <t>Input_Variables</t>
        </is>
      </c>
    </row>
    <row r="38">
      <c r="M38" s="28" t="inlineStr">
        <is>
          <t>ADJUSTMENT_RESERVE</t>
        </is>
      </c>
      <c r="N38" s="29" t="n">
        <v>0</v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mergeCells count="2">
    <mergeCell ref="A24:F24"/>
    <mergeCell ref="M37:P37"/>
  </mergeCells>
  <printOptions horizontalCentered="1"/>
  <pageMargins left="0.75" right="0.75" top="1" bottom="1" header="0.5" footer="0.5"/>
  <pageSetup orientation="portrait" fitToHeight="100" fitToWidth="1"/>
  <headerFooter>
    <oddHeader/>
    <oddFooter>&amp;L&amp;9 Confidential — Proprietary — Clinical Operations System (COS) — The Architect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[DRAFT_OP_V5]</t>
        </is>
      </c>
      <c r="B1" s="1" t="inlineStr">
        <is>
          <t>Monthly [DRAFT_OP_V5]</t>
        </is>
      </c>
      <c r="C1" s="1" t="inlineStr">
        <is>
          <t>Annual [DRAFT_OP_V5]</t>
        </is>
      </c>
      <c r="D1" s="1" t="inlineStr">
        <is>
          <t>Include? [DRAFT_OP_V5]</t>
        </is>
      </c>
    </row>
    <row r="2">
      <c r="A2" t="inlineStr">
        <is>
          <t>Director hybrid pay [DRAFT_OP_V5]</t>
        </is>
      </c>
      <c r="B2" s="18">
        <f>INPUTS!$B$7*INPUTS!$B$8+INPUTS!$B$9*INPUTS!$B$11</f>
        <v/>
      </c>
      <c r="C2" s="18">
        <f>B2*12</f>
        <v/>
      </c>
      <c r="D2" t="b">
        <v>1</v>
      </c>
    </row>
    <row r="3">
      <c r="A3" t="inlineStr">
        <is>
          <t>Other variable (legacy + admin + supervision) [DRAFT_OP_V5]</t>
        </is>
      </c>
      <c r="B3" s="18">
        <f>MODEL!$B$6-OPERATING_COSTS!$B$14-B2</f>
        <v/>
      </c>
      <c r="C3" s="18">
        <f>B3*12</f>
        <v/>
      </c>
      <c r="D3" t="b">
        <v>1</v>
      </c>
    </row>
    <row r="4">
      <c r="A4">
        <f>OPERATING_COSTS!$A$4</f>
        <v/>
      </c>
      <c r="B4" s="18">
        <f>OPERATING_COSTS!$B$4</f>
        <v/>
      </c>
      <c r="C4" s="18">
        <f>B4*12</f>
        <v/>
      </c>
      <c r="D4" t="b">
        <v>1</v>
      </c>
    </row>
    <row r="5">
      <c r="A5">
        <f>OPERATING_COSTS!$A$5</f>
        <v/>
      </c>
      <c r="B5" s="18">
        <f>OPERATING_COSTS!$B$5</f>
        <v/>
      </c>
      <c r="C5" s="18">
        <f>B5*12</f>
        <v/>
      </c>
      <c r="D5" t="b">
        <v>1</v>
      </c>
    </row>
    <row r="6">
      <c r="A6">
        <f>OPERATING_COSTS!$A$6</f>
        <v/>
      </c>
      <c r="B6" s="18">
        <f>OPERATING_COSTS!$B$6</f>
        <v/>
      </c>
      <c r="C6" s="18">
        <f>B6*12</f>
        <v/>
      </c>
      <c r="D6" t="b">
        <v>1</v>
      </c>
    </row>
    <row r="7">
      <c r="A7">
        <f>OPERATING_COSTS!$A$7</f>
        <v/>
      </c>
      <c r="B7" s="18">
        <f>OPERATING_COSTS!$B$7</f>
        <v/>
      </c>
      <c r="C7" s="18">
        <f>B7*12</f>
        <v/>
      </c>
      <c r="D7" t="b">
        <v>1</v>
      </c>
    </row>
    <row r="8">
      <c r="A8">
        <f>OPERATING_COSTS!$A$8</f>
        <v/>
      </c>
      <c r="B8" s="18">
        <f>OPERATING_COSTS!$B$8</f>
        <v/>
      </c>
      <c r="C8" s="18">
        <f>B8*12</f>
        <v/>
      </c>
      <c r="D8" t="b">
        <v>1</v>
      </c>
    </row>
    <row r="9">
      <c r="A9">
        <f>OPERATING_COSTS!$A$9</f>
        <v/>
      </c>
      <c r="B9" s="18">
        <f>OPERATING_COSTS!$B$9</f>
        <v/>
      </c>
      <c r="C9" s="18">
        <f>B9*12</f>
        <v/>
      </c>
      <c r="D9" t="b">
        <v>1</v>
      </c>
    </row>
    <row r="10">
      <c r="A10">
        <f>OPERATING_COSTS!$A$10</f>
        <v/>
      </c>
      <c r="B10" s="18">
        <f>OPERATING_COSTS!$B$10</f>
        <v/>
      </c>
      <c r="C10" s="18">
        <f>B10*12</f>
        <v/>
      </c>
      <c r="D10" t="b">
        <v>1</v>
      </c>
    </row>
    <row r="11">
      <c r="A11">
        <f>OPERATING_COSTS!$A$11</f>
        <v/>
      </c>
      <c r="B11" s="18">
        <f>OPERATING_COSTS!$B$11</f>
        <v/>
      </c>
      <c r="C11" s="18">
        <f>B11*12</f>
        <v/>
      </c>
      <c r="D11" t="b">
        <v>1</v>
      </c>
    </row>
    <row r="12">
      <c r="A12">
        <f>OPERATING_COSTS!$A$12</f>
        <v/>
      </c>
      <c r="B12" s="18">
        <f>OPERATING_COSTS!$B$12</f>
        <v/>
      </c>
      <c r="C12" s="18">
        <f>B12*12</f>
        <v/>
      </c>
      <c r="D12" t="b">
        <v>1</v>
      </c>
    </row>
    <row r="13">
      <c r="A13" t="inlineStr">
        <is>
          <t>Law 25 privacy [PENDING_DATA] [DRAFT_OP_V5]</t>
        </is>
      </c>
      <c r="B13" s="30" t="n">
        <v>0</v>
      </c>
      <c r="C13" s="18">
        <f>B13*12</f>
        <v/>
      </c>
      <c r="D13" t="b">
        <v>1</v>
      </c>
    </row>
    <row r="14">
      <c r="A14" s="1" t="inlineStr">
        <is>
          <t>Total monthly [DRAFT_OP_V5]</t>
        </is>
      </c>
      <c r="B14" s="31">
        <f>SUMIF(D2:D13,TRUE,B2:B13)</f>
        <v/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 ht="32" customHeight="1">
      <c r="A1" s="32" t="inlineStr">
        <is>
          <t>[PROJECT_ID: COS-2026-QC]</t>
        </is>
      </c>
      <c r="B1" s="33" t="n"/>
      <c r="C1" s="33" t="n"/>
      <c r="D1" s="33" t="n"/>
      <c r="E1" s="33" t="n"/>
      <c r="F1" s="33" t="n"/>
    </row>
    <row r="2" ht="18" customHeight="1">
      <c r="A2" s="33" t="n"/>
      <c r="B2" s="33" t="n"/>
      <c r="C2" s="33" t="n"/>
      <c r="D2" s="33" t="n"/>
      <c r="E2" s="33" t="n"/>
      <c r="F2" s="33" t="n"/>
    </row>
    <row r="3" ht="18" customHeight="1">
      <c r="A3" s="33" t="n"/>
      <c r="B3" s="33" t="n"/>
      <c r="C3" s="33" t="n"/>
      <c r="D3" s="33" t="n"/>
      <c r="E3" s="33" t="n"/>
      <c r="F3" s="33" t="n"/>
    </row>
    <row r="4">
      <c r="A4" s="34" t="inlineStr">
        <is>
          <t>Clinical Operations System (COS) — financial reporting extract</t>
        </is>
      </c>
      <c r="B4" s="33" t="n"/>
      <c r="C4" s="33" t="n"/>
      <c r="D4" s="33" t="n"/>
      <c r="E4" s="33" t="n"/>
      <c r="F4" s="33" t="n"/>
    </row>
    <row r="5">
      <c r="A5" s="35" t="inlineStr">
        <is>
          <t>Executive summary — CAPEX, OpEx, solvency (linked)</t>
        </is>
      </c>
      <c r="B5" s="33" t="n"/>
      <c r="C5" s="33" t="n"/>
      <c r="D5" s="33" t="n"/>
      <c r="E5" s="33" t="n"/>
      <c r="F5" s="33" t="n"/>
    </row>
    <row r="6">
      <c r="A6" s="36" t="inlineStr">
        <is>
          <t>CAPEX — Total Initial Valuation (CAPEX_SUMMARY)</t>
        </is>
      </c>
      <c r="B6" s="37">
        <f>CAPEX_SUMMARY!B3</f>
        <v/>
      </c>
      <c r="C6" s="33" t="n"/>
      <c r="D6" s="33" t="n"/>
      <c r="E6" s="33" t="n"/>
      <c r="F6" s="33" t="n"/>
    </row>
    <row r="7">
      <c r="A7" s="36" t="inlineStr">
        <is>
          <t>Monthly OpEx — operating detail (OPERATING_COSTS)</t>
        </is>
      </c>
      <c r="B7" s="37">
        <f>OPERATING_COSTS!$B$14</f>
        <v/>
      </c>
      <c r="C7" s="33" t="n"/>
      <c r="D7" s="33" t="n"/>
      <c r="E7" s="33" t="n"/>
      <c r="F7" s="33" t="n"/>
    </row>
    <row r="8">
      <c r="A8" s="36" t="inlineStr">
        <is>
          <t>Total operating load incl. hybrid pay (MODEL)</t>
        </is>
      </c>
      <c r="B8" s="37">
        <f>MODEL!B6</f>
        <v/>
      </c>
      <c r="C8" s="33" t="n"/>
      <c r="D8" s="33" t="n"/>
      <c r="E8" s="33" t="n"/>
      <c r="F8" s="33" t="n"/>
    </row>
    <row r="9">
      <c r="A9" s="36" t="inlineStr">
        <is>
          <t>Net profit — final (MODEL)</t>
        </is>
      </c>
      <c r="B9" s="37">
        <f>MODEL!B12</f>
        <v/>
      </c>
      <c r="C9" s="33" t="n"/>
      <c r="D9" s="33" t="n"/>
      <c r="E9" s="33" t="n"/>
      <c r="F9" s="33" t="n"/>
    </row>
    <row r="10">
      <c r="A10" s="36" t="inlineStr">
        <is>
          <t>Solvency validation (MODEL)</t>
        </is>
      </c>
      <c r="B10" s="36">
        <f>MODEL!B14</f>
        <v/>
      </c>
      <c r="C10" s="33" t="n"/>
      <c r="D10" s="33" t="n"/>
      <c r="E10" s="33" t="n"/>
      <c r="F10" s="33" t="n"/>
    </row>
    <row r="11">
      <c r="A11" s="36" t="inlineStr">
        <is>
          <t>Redemption alert text (MODEL)</t>
        </is>
      </c>
      <c r="B11" s="36">
        <f>MODEL!B13</f>
        <v/>
      </c>
      <c r="C11" s="33" t="n"/>
      <c r="D11" s="33" t="n"/>
      <c r="E11" s="33" t="n"/>
      <c r="F11" s="33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 password="CEA3"/>
  <mergeCells count="3">
    <mergeCell ref="A1:F3"/>
    <mergeCell ref="A5:F5"/>
    <mergeCell ref="A4:F4"/>
  </mergeCells>
  <printOptions horizontalCentered="1"/>
  <pageMargins left="0.75" right="0.75" top="1" bottom="1" header="0.5" footer="0.5"/>
  <pageSetup orientation="portrait" fitToHeight="100" fitToWidth="1"/>
  <headerFooter>
    <oddHeader/>
    <oddFooter>&amp;L&amp;9 Confidential - Proprietary - Clinical Operations System (COS) - The Architect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 Architect</dc:creator>
  <dc:title>Clinical Operations System (COS) — Pre-Launch Financial Model</dc:title>
  <dcterms:created xsi:type="dcterms:W3CDTF">2026-04-11T00:29:01Z</dcterms:created>
  <dcterms:modified xsi:type="dcterms:W3CDTF">2026-04-11T00:29:01Z</dcterms:modified>
</cp:coreProperties>
</file>