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TIERS" sheetId="2" state="visible" r:id="rId2"/>
    <sheet name="ROSTER" sheetId="3" state="visible" r:id="rId3"/>
    <sheet name="OPERATING_COSTS" sheetId="4" state="visible" r:id="rId4"/>
    <sheet name="INFRASTRUCTURE_ASSETS" sheetId="5" state="visible" r:id="rId5"/>
    <sheet name="CAPEX_SUMMARY" sheetId="6" state="visible" r:id="rId6"/>
    <sheet name="PARTNERSHIP_STRUCTURE" sheetId="7" state="visible" r:id="rId7"/>
    <sheet name="MODEL" sheetId="8" state="visible" r:id="rId8"/>
    <sheet name="SCENARIOS" sheetId="9" state="visible" r:id="rId9"/>
    <sheet name="SCENARIO_B_LIGHT" sheetId="10" state="visible" r:id="rId10"/>
    <sheet name="PARTNER_L_COVERAGE" sheetId="11" state="visible" r:id="rId11"/>
    <sheet name="DASHBOARD" sheetId="12" state="visible" r:id="rId12"/>
    <sheet name="EXPENSES" sheetId="13" state="visible" r:id="rId13"/>
    <sheet name="PRINT_SUMMARY" sheetId="14" state="visible" r:id="rId14"/>
    <sheet name="COMMS_WORKFLOW" sheetId="15" state="visible" r:id="rId15"/>
    <sheet name="THERAPIST_TABLET_WORKFLOW" sheetId="16" state="visible" r:id="rId16"/>
    <sheet name="PATIENT_APP_MOCKUP" sheetId="17" state="visible" r:id="rId17"/>
    <sheet name="COMPLIANCE_GOVERNANCE" sheetId="18" state="visible" r:id="rId18"/>
    <sheet name="COST_ASSUMPTIONS" sheetId="19" state="visible" r:id="rId19"/>
    <sheet name="GOVERNANCE_CHECKLIST" sheetId="20" state="visible" r:id="rId20"/>
    <sheet name="SHOPPING_LIST_QC" sheetId="21" state="visible" r:id="rId21"/>
    <sheet name="CONTRACTS" sheetId="22" state="visible" r:id="rId22"/>
    <sheet name="INTAKE_FORMS" sheetId="23" state="visible" r:id="rId23"/>
    <sheet name="TELECOM_SYSTEM" sheetId="24" state="visible" r:id="rId24"/>
    <sheet name="PLUGIN_ARCHITECTURE" sheetId="25" state="visible" r:id="rId25"/>
  </sheets>
  <definedNames>
    <definedName name="OperatingCostsMonthly">OPERATING_COSTS!$B$14</definedName>
    <definedName name="ClinicMargin">MODEL!$B$5</definedName>
    <definedName name="NetProfit">MODEL!$B$12</definedName>
    <definedName name="InitialCapitalContribution">INPUTS!$B$26</definedName>
    <definedName name="Input_Variables">DASHBOARD!$N$38</definedName>
    <definedName name="Software_Phase">INPUTS!$B$24</definedName>
    <definedName name="Jane_Plan">INPUTS!$B$25</definedName>
    <definedName name="Jane_Base_Month">INPUTS!$B$26</definedName>
    <definedName name="AI_Scribe_Users">INPUTS!$B$27</definedName>
    <definedName name="Group_Telehealth_Users">INPUTS!$B$28</definedName>
    <definedName name="Jane_Website">INPUTS!$B$29</definedName>
    <definedName name="Extra_Compliance_Admin_Tools">INPUTS!$B$30</definedName>
    <definedName name="Software_Month_Calculated">INPUTS!$B$31</definedName>
    <definedName name="Email_Confirmations_Enabled">INPUTS!$B$41</definedName>
    <definedName name="Email_Reminders_Enabled">INPUTS!$B$42</definedName>
    <definedName name="SMS_Reminders_Enabled">INPUTS!$B$43</definedName>
    <definedName name="Reminder_Plugin_Base_Month">INPUTS!$B$44</definedName>
    <definedName name="SMS_Cost_Message">INPUTS!$B$45</definedName>
    <definedName name="Reminder_SMS_Per_Session">INPUTS!$B$46</definedName>
    <definedName name="Email_Cost_Month">INPUTS!$B$47</definedName>
    <definedName name="Monthly_SMS_Volume">INPUTS!$B$49</definedName>
    <definedName name="SMS_Cost_Month">INPUTS!$B$50</definedName>
    <definedName name="Communications_Month_Calculated">INPUTS!$B$51</definedName>
    <definedName name="Tablet_Notes_Enabled">INPUTS!$B$57</definedName>
    <definedName name="Tablets_Required">INPUTS!$B$58</definedName>
    <definedName name="Tablet_Cost_Unit">INPUTS!$B$59</definedName>
    <definedName name="Stylus_Cost_Unit">INPUTS!$B$60</definedName>
    <definedName name="Tablet_Amortization_Months">INPUTS!$B$61</definedName>
    <definedName name="Secure_Note_App_Month_User">INPUTS!$B$62</definedName>
    <definedName name="AI_Note_Review_Users">INPUTS!$B$63</definedName>
    <definedName name="AI_Note_Review_Month_User">INPUTS!$B$64</definedName>
    <definedName name="Device_Management_Month_Tablet">INPUTS!$B$65</definedName>
    <definedName name="Tablet_Note_Taking_Month_Calculated">INPUTS!$B$70</definedName>
    <definedName name="Patient_App_Enabled">INPUTS!$B$77</definedName>
    <definedName name="Patient_App_Phase">INPUTS!$B$78</definedName>
    <definedName name="Patient_App_Platform_Month">INPUTS!$B$79</definedName>
    <definedName name="Patient_App_Journal_Module_Month">INPUTS!$B$80</definedName>
    <definedName name="Patient_App_Protocol_Library_Month">INPUTS!$B$81</definedName>
    <definedName name="Patient_App_Mood_Tracker_Month">INPUTS!$B$82</definedName>
    <definedName name="Patient_App_Secure_Messaging_Month">INPUTS!$B$83</definedName>
    <definedName name="Patient_App_Maintenance_Admin_Month">INPUTS!$B$84</definedName>
    <definedName name="Patient_App_Month_Calculated">INPUTS!$B$85</definedName>
    <definedName name="Jurisdiction_Mode">INPUTS!$B$91</definedName>
    <definedName name="Include_Governance_Module">INPUTS!$B$92</definedName>
    <definedName name="Quebec_Governance_Month">INPUTS!$B$93</definedName>
    <definedName name="Alberta_Clinic_Governance_Month">INPUTS!$B$94</definedName>
    <definedName name="Alberta_Solo_Governance_Month">INPUTS!$B$95</definedName>
    <definedName name="Selected_Governance_Month">INPUTS!$B$96</definedName>
    <definedName name="Quebec_Total_Governance">COST_ASSUMPTIONS!$B$21</definedName>
    <definedName name="Alberta_Clinic_Total_Governance">COST_ASSUMPTIONS!$C$21</definedName>
    <definedName name="Alberta_Solo_Total_Governance">COST_ASSUMPTIONS!$D$21</definedName>
    <definedName name="_xlnm.Print_Area" localSheetId="11">'DASHBOARD'!$A$24:$F$31</definedName>
    <definedName name="_xlnm.Print_Area" localSheetId="13">'PRINT_SUMMARY'!$A$1:$F$11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$#,##0.00"/>
    <numFmt numFmtId="166" formatCode="0.0"/>
  </numFmts>
  <fonts count="18">
    <font>
      <name val="Calibri"/>
      <family val="2"/>
      <color theme="1"/>
      <sz val="11"/>
      <scheme val="minor"/>
    </font>
    <font>
      <i val="1"/>
      <color rgb="00555555"/>
      <sz val="10"/>
    </font>
    <font>
      <b val="1"/>
    </font>
    <font>
      <b val="1"/>
      <sz val="12"/>
    </font>
    <font>
      <b val="1"/>
      <i val="1"/>
    </font>
    <font>
      <i val="1"/>
      <color rgb="006B7280"/>
      <sz val="9"/>
    </font>
    <font>
      <name val="Calibri Light"/>
      <b val="1"/>
      <color rgb="00111827"/>
      <sz val="15"/>
    </font>
    <font>
      <name val="Calibri Light"/>
      <b val="1"/>
      <color rgb="006B7280"/>
      <sz val="10"/>
    </font>
    <font>
      <name val="Calibri Light"/>
      <color rgb="00374151"/>
      <sz val="11"/>
    </font>
    <font>
      <b val="1"/>
      <sz val="11"/>
    </font>
    <font>
      <name val="Calibri Light"/>
      <i val="1"/>
      <color rgb="009CA3AF"/>
      <sz val="8"/>
    </font>
    <font>
      <name val="Calibri Light"/>
      <color rgb="006B7280"/>
      <sz val="8"/>
    </font>
    <font>
      <name val="Calibri Light"/>
      <color rgb="004B5563"/>
      <sz val="9"/>
    </font>
    <font>
      <name val="Calibri Light"/>
      <b val="1"/>
      <color rgb="00111827"/>
      <sz val="18"/>
    </font>
    <font>
      <name val="Calibri Light"/>
      <color rgb="006B7280"/>
      <sz val="9"/>
    </font>
    <font>
      <name val="Calibri Light"/>
      <b val="1"/>
      <color rgb="00374151"/>
      <sz val="12"/>
    </font>
    <font>
      <b val="1"/>
      <color rgb="00FFFFFF"/>
    </font>
    <font>
      <b val="1"/>
      <color rgb="00FFFFFF"/>
      <sz val="16"/>
    </font>
  </fonts>
  <fills count="10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8E8E8"/>
        <bgColor rgb="00E8E8E8"/>
      </patternFill>
    </fill>
    <fill>
      <patternFill patternType="solid">
        <fgColor rgb="00FAFAFA"/>
        <bgColor rgb="00FAFAFA"/>
      </patternFill>
    </fill>
    <fill>
      <patternFill patternType="solid">
        <fgColor rgb="00F9FAFB"/>
        <bgColor rgb="00F9FAFB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DCEBFF"/>
      </patternFill>
    </fill>
    <fill>
      <patternFill patternType="solid">
        <fgColor rgb="00E5E7EB"/>
      </patternFill>
    </fill>
  </fills>
  <borders count="1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 style="thin">
        <color rgb="00CCCCCC"/>
      </left>
      <right/>
      <top/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/>
      <bottom/>
      <diagonal/>
    </border>
    <border>
      <left style="thin">
        <color rgb="00CCCCCC"/>
      </left>
      <right/>
      <top/>
      <bottom style="thin">
        <color rgb="00CCCCCC"/>
      </bottom>
      <diagonal/>
    </border>
    <border>
      <left/>
      <right/>
      <top/>
      <bottom style="thin">
        <color rgb="00CCCCCC"/>
      </bottom>
      <diagonal/>
    </border>
    <border>
      <left/>
      <right style="thin">
        <color rgb="00CCCCCC"/>
      </right>
      <top/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2" fontId="0" fillId="2" borderId="0" applyProtection="1" pivotButton="0" quotePrefix="0" xfId="0">
      <protection locked="0" hidden="0"/>
    </xf>
    <xf numFmtId="1" fontId="0" fillId="2" borderId="0" applyProtection="1" pivotButton="0" quotePrefix="0" xfId="0">
      <protection locked="0" hidden="0"/>
    </xf>
    <xf numFmtId="164" fontId="0" fillId="0" borderId="0" pivotButton="0" quotePrefix="0" xfId="0"/>
    <xf numFmtId="3" fontId="0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" fillId="3" borderId="0" pivotButton="0" quotePrefix="0" xfId="0"/>
    <xf numFmtId="0" fontId="1" fillId="3" borderId="0" applyProtection="1" pivotButton="0" quotePrefix="0" xfId="0">
      <protection locked="0" hidden="0"/>
    </xf>
    <xf numFmtId="3" fontId="0" fillId="2" borderId="0" pivotButton="0" quotePrefix="0" xfId="0"/>
    <xf numFmtId="3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2" borderId="0" applyProtection="1" pivotButton="0" quotePrefix="0" xfId="0">
      <protection locked="0" hidden="0"/>
    </xf>
    <xf numFmtId="0" fontId="3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0" fontId="9" fillId="0" borderId="0" pivotButton="0" quotePrefix="0" xfId="0"/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 vertical="center"/>
    </xf>
    <xf numFmtId="0" fontId="7" fillId="4" borderId="0" pivotButton="0" quotePrefix="0" xfId="0"/>
    <xf numFmtId="4" fontId="8" fillId="4" borderId="0" pivotButton="0" quotePrefix="0" xfId="0"/>
    <xf numFmtId="0" fontId="8" fillId="4" borderId="0" pivotButton="0" quotePrefix="0" xfId="0"/>
    <xf numFmtId="0" fontId="10" fillId="0" borderId="0" applyAlignment="1" pivotButton="0" quotePrefix="0" xfId="0">
      <alignment horizontal="right" vertical="center"/>
    </xf>
    <xf numFmtId="0" fontId="11" fillId="0" borderId="0" pivotButton="0" quotePrefix="0" xfId="0"/>
    <xf numFmtId="3" fontId="12" fillId="5" borderId="0" applyProtection="1" pivotButton="0" quotePrefix="0" xfId="0">
      <protection locked="0" hidden="0"/>
    </xf>
    <xf numFmtId="4" fontId="0" fillId="2" borderId="0" applyProtection="1" pivotButton="0" quotePrefix="0" xfId="0">
      <protection locked="0" hidden="0"/>
    </xf>
    <xf numFmtId="4" fontId="2" fillId="0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0" borderId="1" applyAlignment="1" pivotButton="0" quotePrefix="0" xfId="0">
      <alignment horizontal="left" vertical="center"/>
    </xf>
    <xf numFmtId="0" fontId="15" fillId="0" borderId="1" pivotButton="0" quotePrefix="0" xfId="0"/>
    <xf numFmtId="0" fontId="8" fillId="0" borderId="1" pivotButton="0" quotePrefix="0" xfId="0"/>
    <xf numFmtId="4" fontId="8" fillId="0" borderId="1" pivotButton="0" quotePrefix="0" xfId="0"/>
    <xf numFmtId="2" fontId="0" fillId="8" borderId="0" applyProtection="1" pivotButton="0" quotePrefix="0" xfId="0">
      <protection locked="0" hidden="0"/>
    </xf>
    <xf numFmtId="1" fontId="0" fillId="8" borderId="0" applyProtection="1" pivotButton="0" quotePrefix="0" xfId="0">
      <protection locked="0" hidden="0"/>
    </xf>
    <xf numFmtId="164" fontId="0" fillId="8" borderId="0" applyProtection="1" pivotButton="0" quotePrefix="0" xfId="0">
      <protection locked="0" hidden="0"/>
    </xf>
    <xf numFmtId="3" fontId="0" fillId="8" borderId="0" applyProtection="1" pivotButton="0" quotePrefix="0" xfId="0">
      <protection locked="0" hidden="0"/>
    </xf>
    <xf numFmtId="165" fontId="0" fillId="2" borderId="0" pivotButton="0" quotePrefix="0" xfId="0"/>
    <xf numFmtId="0" fontId="16" fillId="6" borderId="0" pivotButton="0" quotePrefix="0" xfId="0"/>
    <xf numFmtId="0" fontId="0" fillId="8" borderId="0" applyProtection="1" pivotButton="0" quotePrefix="0" xfId="0">
      <protection locked="0" hidden="0"/>
    </xf>
    <xf numFmtId="0" fontId="1" fillId="8" borderId="0" applyProtection="1" pivotButton="0" quotePrefix="0" xfId="0">
      <protection locked="0" hidden="0"/>
    </xf>
    <xf numFmtId="165" fontId="1" fillId="8" borderId="0" applyProtection="1" pivotButton="0" quotePrefix="0" xfId="0">
      <protection locked="0" hidden="0"/>
    </xf>
    <xf numFmtId="165" fontId="2" fillId="2" borderId="0" pivotButton="0" quotePrefix="0" xfId="0"/>
    <xf numFmtId="3" fontId="0" fillId="2" borderId="0" applyAlignment="1" pivotButton="0" quotePrefix="0" xfId="0">
      <alignment vertical="top" wrapText="1"/>
    </xf>
    <xf numFmtId="1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10" fontId="2" fillId="0" borderId="0" pivotButton="0" quotePrefix="0" xfId="0"/>
    <xf numFmtId="0" fontId="2" fillId="7" borderId="11" pivotButton="0" quotePrefix="0" xfId="0"/>
    <xf numFmtId="49" fontId="0" fillId="0" borderId="11" applyAlignment="1" pivotButton="0" quotePrefix="0" xfId="0">
      <alignment horizontal="right"/>
    </xf>
    <xf numFmtId="165" fontId="0" fillId="0" borderId="11" applyAlignment="1" pivotButton="0" quotePrefix="0" xfId="0">
      <alignment horizontal="right"/>
    </xf>
    <xf numFmtId="3" fontId="12" fillId="5" borderId="0" pivotButton="0" quotePrefix="0" xfId="0"/>
    <xf numFmtId="165" fontId="2" fillId="0" borderId="0" pivotButton="0" quotePrefix="0" xfId="0"/>
    <xf numFmtId="4" fontId="0" fillId="2" borderId="0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5" fontId="0" fillId="0" borderId="0" applyProtection="1" pivotButton="0" quotePrefix="0" xfId="0">
      <protection locked="0" hidden="0"/>
    </xf>
    <xf numFmtId="166" fontId="0" fillId="0" borderId="0" pivotButton="0" quotePrefix="0" xfId="0"/>
    <xf numFmtId="0" fontId="16" fillId="6" borderId="0" applyAlignment="1" pivotButton="0" quotePrefix="0" xfId="0">
      <alignment horizontal="left"/>
    </xf>
    <xf numFmtId="165" fontId="0" fillId="8" borderId="0" applyProtection="1" pivotButton="0" quotePrefix="0" xfId="0">
      <protection locked="0" hidden="0"/>
    </xf>
    <xf numFmtId="0" fontId="0" fillId="0" borderId="0" applyAlignment="1" pivotButton="0" quotePrefix="0" xfId="0">
      <alignment vertical="top" wrapText="1"/>
    </xf>
    <xf numFmtId="0" fontId="2" fillId="7" borderId="12" pivotButton="0" quotePrefix="0" xfId="0"/>
    <xf numFmtId="49" fontId="0" fillId="0" borderId="12" applyAlignment="1" pivotButton="0" quotePrefix="0" xfId="0">
      <alignment horizontal="right"/>
    </xf>
    <xf numFmtId="165" fontId="0" fillId="0" borderId="12" applyAlignment="1" pivotButton="0" quotePrefix="0" xfId="0">
      <alignment horizontal="right"/>
    </xf>
    <xf numFmtId="1" fontId="0" fillId="0" borderId="12" applyAlignment="1" pivotButton="0" quotePrefix="0" xfId="0">
      <alignment horizontal="right"/>
    </xf>
    <xf numFmtId="0" fontId="17" fillId="6" borderId="0" pivotButton="0" quotePrefix="0" xfId="0"/>
    <xf numFmtId="0" fontId="16" fillId="6" borderId="12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16" fillId="6" borderId="0" applyAlignment="1" pivotButton="0" quotePrefix="0" xfId="0">
      <alignment vertical="top" wrapText="1"/>
    </xf>
    <xf numFmtId="0" fontId="0" fillId="9" borderId="0" applyProtection="1" pivotButton="0" quotePrefix="0" xfId="0">
      <protection locked="0" hidden="0"/>
    </xf>
    <xf numFmtId="165" fontId="0" fillId="0" borderId="12" pivotButton="0" quotePrefix="0" xfId="0"/>
    <xf numFmtId="49" fontId="0" fillId="0" borderId="12" pivotButton="0" quotePrefix="0" xfId="0"/>
    <xf numFmtId="165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165" fontId="0" fillId="0" borderId="12" applyAlignment="1" applyProtection="1" pivotButton="0" quotePrefix="0" xfId="0">
      <alignment vertical="top" wrapText="1"/>
      <protection locked="0" hidden="0"/>
    </xf>
    <xf numFmtId="165" fontId="0" fillId="0" borderId="12" applyAlignment="1" pivotButton="0" quotePrefix="0" xfId="0">
      <alignment vertical="top" wrapText="1"/>
    </xf>
    <xf numFmtId="165" fontId="2" fillId="0" borderId="12" applyAlignment="1" pivotButton="0" quotePrefix="0" xfId="0">
      <alignment vertical="top" wrapText="1"/>
    </xf>
    <xf numFmtId="0" fontId="2" fillId="0" borderId="12" applyAlignment="1" pivotButton="0" quotePrefix="0" xfId="0">
      <alignment vertical="top" wrapText="1"/>
    </xf>
    <xf numFmtId="0" fontId="17" fillId="6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(scenario) [DRAFT_OP_V5]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'SCENARIOS'!$B$1:$F$1</f>
            </numRef>
          </cat>
          <val>
            <numRef>
              <f>'SCENARIOS'!$B$5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'SCENARIOS'!$B$1:$F$1</f>
            </numRef>
          </cat>
          <val>
            <numRef>
              <f>'SCENARIOS'!$C$5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'SCENARIOS'!$B$1:$F$1</f>
            </numRef>
          </cat>
          <val>
            <numRef>
              <f>'SCENARIOS'!$D$5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'SCENARIOS'!$B$1:$F$1</f>
            </numRef>
          </cat>
          <val>
            <numRef>
              <f>'SCENARIOS'!$E$5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'SCENARIOS'!$B$1:$F$1</f>
            </numRef>
          </cat>
          <val>
            <numRef>
              <f>'SCENARIOS'!$F$5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'SCENARIOS'!$B$1:$F$1</f>
            </numRef>
          </cat>
          <val>
            <numRef>
              <f>'SCENARIOS'!$B$2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'SCENARIOS'!$B$1:$F$1</f>
            </numRef>
          </cat>
          <val>
            <numRef>
              <f>'SCENARIOS'!$C$2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'SCENARIOS'!$B$1:$F$1</f>
            </numRef>
          </cat>
          <val>
            <numRef>
              <f>'SCENARIOS'!$D$2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'SCENARIOS'!$B$1:$F$1</f>
            </numRef>
          </cat>
          <val>
            <numRef>
              <f>'SCENARIOS'!$E$2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'SCENARIOS'!$B$1:$F$1</f>
            </numRef>
          </cat>
          <val>
            <numRef>
              <f>'SCENARIOS'!$F$2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'EXPENSES'!$A$2:$A$13</f>
            </numRef>
          </cat>
          <val>
            <numRef>
              <f>'EXPENSES'!$B$2:$B$13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Software Cost by Phase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'SCENARIOS'!$B$10:$D$10</f>
            </numRef>
          </cat>
          <val>
            <numRef>
              <f>'SCENARIOS'!$B$11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'SCENARIOS'!$B$10:$D$10</f>
            </numRef>
          </cat>
          <val>
            <numRef>
              <f>'SCENARIOS'!$C$11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'SCENARIOS'!$B$10:$D$10</f>
            </numRef>
          </cat>
          <val>
            <numRef>
              <f>'SCENARIOS'!$D$11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Software Cost Components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'EXPENSES'!$F$2:$F$9</f>
            </numRef>
          </cat>
          <val>
            <numRef>
              <f>'EXPENSES'!$G$2:$G$9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Patient App Cost Components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'EXPENSES'!$O$4:$O$9</f>
            </numRef>
          </cat>
          <val>
            <numRef>
              <f>'EXPENSES'!$P$4:$P$9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Governance Cost by Jurisdiction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'COST_ASSUMPTIONS'!$B$21</f>
            </numRef>
          </val>
        </ser>
        <ser>
          <idx val="1"/>
          <order val="1"/>
          <spPr>
            <a:ln>
              <a:prstDash val="solid"/>
            </a:ln>
          </spPr>
          <val>
            <numRef>
              <f>'COST_ASSUMPTIONS'!$C$21</f>
            </numRef>
          </val>
        </ser>
        <ser>
          <idx val="2"/>
          <order val="2"/>
          <spPr>
            <a:ln>
              <a:prstDash val="solid"/>
            </a:ln>
          </spPr>
          <val>
            <numRef>
              <f>'COST_ASSUMPTIONS'!$D$21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Advertising Budget by Jurisdiction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'DASHBOARD'!$Y$100:$Y$102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The Architect</author>
  </authors>
  <commentList>
    <comment ref="B41" authorId="0" shapeId="0">
      <text>
        <t>DRAFT_OP_V5: Single editable control on DASHBOARD (N38); flows to MODEL via INPUTS.</t>
      </text>
    </comment>
    <comment ref="B42" authorId="0" shapeId="0">
      <text>
        <t>DRAFT_OP_V5: Legal actual + marketing launch one-time + software init.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21</row>
      <rowOff>0</rowOff>
    </from>
    <ext cx="324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35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51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67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83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7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  <col width="16" customWidth="1" min="3" max="3"/>
  </cols>
  <sheetData>
    <row r="1">
      <c r="A1" s="1" t="inlineStr">
        <is>
          <t>VARIABLE [DRAFT_OP_V5]</t>
        </is>
      </c>
      <c r="B1" s="2" t="inlineStr">
        <is>
          <t>VALUE [DRAFT_OP_V5]</t>
        </is>
      </c>
      <c r="C1" s="1" t="inlineStr">
        <is>
          <t>STATUS [DRAFT_OP_V5]</t>
        </is>
      </c>
    </row>
    <row r="2">
      <c r="A2" t="inlineStr">
        <is>
          <t>Clinic % [DRAFT_OP_V5]</t>
        </is>
      </c>
      <c r="B2" s="38" t="n">
        <v>3</v>
      </c>
      <c r="C2" t="inlineStr">
        <is>
          <t>[VERIFIED]</t>
        </is>
      </c>
    </row>
    <row r="3">
      <c r="A3" t="inlineStr">
        <is>
          <t>Utilization (Path B ref.) [DRAFT_OP_V5]</t>
        </is>
      </c>
      <c r="B3" s="38" t="n">
        <v>22</v>
      </c>
      <c r="C3" t="inlineStr">
        <is>
          <t>[PENDING_DATA]</t>
        </is>
      </c>
    </row>
    <row r="4">
      <c r="A4" t="inlineStr">
        <is>
          <t>Weeks/year [DRAFT_OP_V5]</t>
        </is>
      </c>
      <c r="B4" s="39" t="n">
        <v>140</v>
      </c>
      <c r="C4" t="inlineStr">
        <is>
          <t>[PENDING_DATA]</t>
        </is>
      </c>
    </row>
    <row r="5">
      <c r="A5" t="inlineStr">
        <is>
          <t>Weeks/month factor (sessions equiv.) [DRAFT_OP_V5]</t>
        </is>
      </c>
      <c r="B5" s="40" t="n">
        <v>0.35</v>
      </c>
    </row>
    <row r="6">
      <c r="A6" t="inlineStr">
        <is>
          <t>Partner_L_Draw — fixed target (CAD/mo) [DRAFT_OP_V5]</t>
        </is>
      </c>
      <c r="B6" s="41" t="n">
        <v>0.82</v>
      </c>
      <c r="C6" t="inlineStr">
        <is>
          <t>[VERIFIED]</t>
        </is>
      </c>
    </row>
    <row r="7">
      <c r="A7" t="inlineStr">
        <is>
          <t>Director — admin hours/month [DRAFT_OP_V5]</t>
        </is>
      </c>
      <c r="B7" s="39" t="n">
        <v>48</v>
      </c>
      <c r="C7" t="inlineStr">
        <is>
          <t>[PENDING_DATA]</t>
        </is>
      </c>
    </row>
    <row r="8">
      <c r="A8" t="inlineStr">
        <is>
          <t>Director_Admin_Rate ($/hr) [DRAFT_OP_V5]</t>
        </is>
      </c>
      <c r="B8" s="10" t="n">
        <v>75</v>
      </c>
      <c r="C8" t="inlineStr">
        <is>
          <t>[VERIFIED]</t>
        </is>
      </c>
    </row>
    <row r="9">
      <c r="A9" t="inlineStr">
        <is>
          <t>Director — clinical sessions/month [DRAFT_OP_V5]</t>
        </is>
      </c>
      <c r="B9" s="39" t="n">
        <v>72000</v>
      </c>
      <c r="C9" t="inlineStr">
        <is>
          <t>[PENDING_DATA]</t>
        </is>
      </c>
    </row>
    <row r="10">
      <c r="A10" t="inlineStr">
        <is>
          <t>Director billing rate — Senior (CAD/session) [DRAFT_OP_V5]</t>
        </is>
      </c>
      <c r="B10" s="41" t="n">
        <v>32000</v>
      </c>
      <c r="C10" t="inlineStr">
        <is>
          <t>[VERIFIED]</t>
        </is>
      </c>
    </row>
    <row r="11">
      <c r="A11" t="inlineStr">
        <is>
          <t>Director clinical pay — 65% × Senior rate (=0.65×billing) [DRAFT_OP_V5]</t>
        </is>
      </c>
      <c r="B11" s="5">
        <f>0.65*B10</f>
        <v/>
      </c>
    </row>
    <row r="12">
      <c r="A12" t="inlineStr">
        <is>
          <t>Min roster count (activate fees) [DRAFT_OP_V5]</t>
        </is>
      </c>
      <c r="B12" s="39" t="n">
        <v>2500</v>
      </c>
      <c r="C12" t="inlineStr">
        <is>
          <t>[PENDING_DATA]</t>
        </is>
      </c>
    </row>
    <row r="13">
      <c r="A13" t="inlineStr">
        <is>
          <t>Software/month</t>
        </is>
      </c>
      <c r="B13" s="42">
        <f>B31</f>
        <v/>
      </c>
      <c r="C13" t="inlineStr">
        <is>
          <t>[PENDING_DATA]</t>
        </is>
      </c>
    </row>
    <row r="14">
      <c r="A14" t="inlineStr">
        <is>
          <t>Supervision — rate (CAD/hr) [DRAFT_OP_V5]</t>
        </is>
      </c>
      <c r="B14" s="41" t="n">
        <v>350</v>
      </c>
      <c r="C14" t="inlineStr">
        <is>
          <t>[VERIFIED]</t>
        </is>
      </c>
    </row>
    <row r="15">
      <c r="A15" t="inlineStr">
        <is>
          <t>Admin / platform flat fee (CAD/mo) [DRAFT_OP_V5]</t>
        </is>
      </c>
      <c r="B15" s="41" t="n">
        <v>500</v>
      </c>
      <c r="C15" t="inlineStr">
        <is>
          <t>[PENDING_DATA]</t>
        </is>
      </c>
    </row>
    <row r="16">
      <c r="A16" t="inlineStr">
        <is>
          <t>Director legacy — % of roster gross [DRAFT_OP_V5]</t>
        </is>
      </c>
      <c r="B16" s="38" t="n">
        <v>150</v>
      </c>
      <c r="C16" t="inlineStr">
        <is>
          <t>[PENDING_DATA]</t>
        </is>
      </c>
    </row>
    <row r="17">
      <c r="A17" t="inlineStr">
        <is>
          <t>Director legacy — $/session (roster volume) [DRAFT_OP_V5]</t>
        </is>
      </c>
      <c r="B17" s="41" t="n">
        <v>250</v>
      </c>
      <c r="C17" t="inlineStr">
        <is>
          <t>[PENDING_DATA]</t>
        </is>
      </c>
    </row>
    <row r="18">
      <c r="A18" t="inlineStr">
        <is>
          <t>Misc ops/month</t>
        </is>
      </c>
      <c r="B18" s="71" t="n">
        <v>300</v>
      </c>
    </row>
    <row r="19">
      <c r="A19" t="inlineStr">
        <is>
          <t>Tax rate — clinic [DRAFT_OP_V5]</t>
        </is>
      </c>
      <c r="B19" s="38" t="n">
        <v>0.3</v>
      </c>
      <c r="C19" t="inlineStr">
        <is>
          <t>[PENDING_DATA]</t>
        </is>
      </c>
    </row>
    <row r="20">
      <c r="A20" t="inlineStr">
        <is>
          <t>Planning — NP benchmark (not an expense) [DRAFT_OP_V5]</t>
        </is>
      </c>
      <c r="B20" s="41" t="n">
        <v>5000</v>
      </c>
      <c r="C20" t="inlineStr">
        <is>
          <t>[PENDING_DATA]</t>
        </is>
      </c>
    </row>
    <row r="21">
      <c r="A21" t="inlineStr">
        <is>
          <t>Governance/compliance/month</t>
        </is>
      </c>
      <c r="B21" s="42">
        <f>B96</f>
        <v/>
      </c>
      <c r="C21" t="inlineStr">
        <is>
          <t>[PENDING_DATA]</t>
        </is>
      </c>
    </row>
    <row r="22">
      <c r="A22" t="inlineStr">
        <is>
          <t>Partner_L monthly need (reference) [DRAFT_OP_V5]</t>
        </is>
      </c>
      <c r="B22" s="10" t="n">
        <v>0</v>
      </c>
      <c r="C22" t="inlineStr">
        <is>
          <t>[PENDING_DATA]</t>
        </is>
      </c>
    </row>
    <row r="23">
      <c r="A23" s="43" t="inlineStr">
        <is>
          <t>SOFTWARE STACK — VIRTUAL PSYCHOLOGY CLINIC</t>
        </is>
      </c>
      <c r="C23" t="inlineStr">
        <is>
          <t>[PENDING_DATA]</t>
        </is>
      </c>
    </row>
    <row r="24">
      <c r="A24" t="inlineStr">
        <is>
          <t>Software phase</t>
        </is>
      </c>
      <c r="B24" s="44" t="n">
        <v>2</v>
      </c>
    </row>
    <row r="25">
      <c r="A25" t="inlineStr">
        <is>
          <t>Jane plan</t>
        </is>
      </c>
      <c r="B25" s="10">
        <f>CHOOSE(B24,"Balance","Practice","Thrive")</f>
        <v/>
      </c>
      <c r="C25" t="inlineStr">
        <is>
          <t>[VERIFIED]</t>
        </is>
      </c>
    </row>
    <row r="26">
      <c r="A26" t="inlineStr">
        <is>
          <t>Jane base/month</t>
        </is>
      </c>
      <c r="B26" s="42">
        <f>CHOOSE(B24,54,79,99)</f>
        <v/>
      </c>
      <c r="C26" t="inlineStr">
        <is>
          <t>[VERIFIED]</t>
        </is>
      </c>
    </row>
    <row r="27">
      <c r="A27" t="inlineStr">
        <is>
          <t>AI Scribe users</t>
        </is>
      </c>
      <c r="B27" s="44" t="n">
        <v>1</v>
      </c>
    </row>
    <row r="28">
      <c r="A28" s="8" t="inlineStr">
        <is>
          <t>Group telehealth users</t>
        </is>
      </c>
      <c r="B28" s="45" t="n">
        <v>0</v>
      </c>
    </row>
    <row r="29">
      <c r="A29" s="1" t="inlineStr">
        <is>
          <t>Jane Website?</t>
        </is>
      </c>
      <c r="B29" s="41" t="b">
        <v>1</v>
      </c>
      <c r="C29" t="inlineStr">
        <is>
          <t>[VERIFIED]</t>
        </is>
      </c>
    </row>
    <row r="30" ht="24" customHeight="1">
      <c r="A30" s="8" t="inlineStr">
        <is>
          <t>Extra compliance/admin tools</t>
        </is>
      </c>
      <c r="B30" s="46" t="n">
        <v>200</v>
      </c>
    </row>
    <row r="31" ht="24" customHeight="1">
      <c r="A31" s="1" t="inlineStr">
        <is>
          <t>Software/month calculated</t>
        </is>
      </c>
      <c r="B31" s="47">
        <f>B26+(B27*15)+(B28*15)+IF(B29,59,0)+B30+B51+B70+B85</f>
        <v/>
      </c>
      <c r="C31" t="inlineStr">
        <is>
          <t>[VERIFIED]</t>
        </is>
      </c>
    </row>
    <row r="32" ht="24" customHeight="1">
      <c r="A32" s="8" t="inlineStr">
        <is>
          <t>Software (Jane App) — RANGE (ghost) [DRAFT_OP_V5]</t>
        </is>
      </c>
      <c r="B32" s="8" t="inlineStr">
        <is>
          <t>Market Benchmark [QC_2026_DATA]: [$79 – $109] Jane App (reference band)</t>
        </is>
      </c>
    </row>
    <row r="33" ht="24" customHeight="1">
      <c r="A33" s="1" t="inlineStr">
        <is>
          <t>Phase guide</t>
        </is>
      </c>
      <c r="B33" s="48" t="inlineStr">
        <is>
          <t>1 = Pre-launch / low volume</t>
        </is>
      </c>
      <c r="C33" t="inlineStr">
        <is>
          <t>[VERIFIED]</t>
        </is>
      </c>
    </row>
    <row r="34">
      <c r="A34" t="inlineStr">
        <is>
          <t>Phase 1</t>
        </is>
      </c>
      <c r="B34" s="48" t="inlineStr">
        <is>
          <t>Jane Balance, one practitioner profile, low appointment volume, basic telehealth setup</t>
        </is>
      </c>
      <c r="C34" t="inlineStr">
        <is>
          <t>[PENDING_DATA]</t>
        </is>
      </c>
    </row>
    <row r="35">
      <c r="A35" t="inlineStr">
        <is>
          <t>Phase 2</t>
        </is>
      </c>
      <c r="B35" s="48" t="inlineStr">
        <is>
          <t>Jane Practice, launch with 1–3 therapists, unlimited appointments, online booking, reminders</t>
        </is>
      </c>
      <c r="C35" t="inlineStr">
        <is>
          <t>[PENDING_DATA]</t>
        </is>
      </c>
    </row>
    <row r="36">
      <c r="A36" t="inlineStr">
        <is>
          <t>Phase 3</t>
        </is>
      </c>
      <c r="B36" s="48" t="inlineStr">
        <is>
          <t>Jane Thrive, growth phase, stronger patient engagement and optional add-ons</t>
        </is>
      </c>
      <c r="C36" t="inlineStr">
        <is>
          <t>[PENDING_DATA]</t>
        </is>
      </c>
    </row>
    <row r="37">
      <c r="A37" t="inlineStr">
        <is>
          <t>Professional liability — Social Work (annual CAD) [DRAFT_OP_V5]</t>
        </is>
      </c>
      <c r="B37" s="10" t="n">
        <v>400</v>
      </c>
      <c r="C37" t="inlineStr">
        <is>
          <t>[PENDING_DATA]</t>
        </is>
      </c>
    </row>
    <row r="38" ht="24" customHeight="1">
      <c r="A38" s="8" t="inlineStr">
        <is>
          <t>Professional insurance (QC psych) — RANGE (ghost) [DRAFT_OP_V5]</t>
        </is>
      </c>
      <c r="B38" s="8" t="inlineStr">
        <is>
          <t>Market Benchmark [QC_2026_DATA]: [$50 – $100]/mo (reference band)</t>
        </is>
      </c>
    </row>
    <row r="39" ht="24" customHeight="1">
      <c r="A39" s="1" t="inlineStr">
        <is>
          <t>Professional insurance (QC psych) — ACTUAL (CAD/mo) [DRAFT_OP_V5]</t>
        </is>
      </c>
      <c r="B39" s="10" t="n">
        <v>65</v>
      </c>
      <c r="C39" t="inlineStr">
        <is>
          <t>[VERIFIED]</t>
        </is>
      </c>
    </row>
    <row r="40">
      <c r="A40" s="43" t="inlineStr">
        <is>
          <t>APPOINTMENT COMMUNICATIONS</t>
        </is>
      </c>
      <c r="C40" t="inlineStr">
        <is>
          <t>[VERIFIED]</t>
        </is>
      </c>
    </row>
    <row r="41">
      <c r="A41" t="inlineStr">
        <is>
          <t>Email confirmations enabled?</t>
        </is>
      </c>
      <c r="B41" s="41" t="b">
        <v>1</v>
      </c>
      <c r="C41" t="inlineStr">
        <is>
          <t>[VERIFIED]</t>
        </is>
      </c>
    </row>
    <row r="42">
      <c r="A42" t="inlineStr">
        <is>
          <t>Email reminders enabled?</t>
        </is>
      </c>
      <c r="B42" s="41" t="b">
        <v>1</v>
      </c>
    </row>
    <row r="43">
      <c r="A43" s="12" t="inlineStr">
        <is>
          <t>SMS reminders enabled?</t>
        </is>
      </c>
      <c r="B43" s="44" t="b">
        <v>1</v>
      </c>
    </row>
    <row r="44">
      <c r="A44" t="inlineStr">
        <is>
          <t>Reminder plugin base/month</t>
        </is>
      </c>
      <c r="B44" s="71" t="n">
        <v>35</v>
      </c>
    </row>
    <row r="45">
      <c r="A45" t="inlineStr">
        <is>
          <t>SMS cost/message</t>
        </is>
      </c>
      <c r="B45" s="71" t="n">
        <v>0.12</v>
      </c>
    </row>
    <row r="46">
      <c r="A46" t="inlineStr">
        <is>
          <t>Reminder SMS per session</t>
        </is>
      </c>
      <c r="B46" s="44" t="n">
        <v>2</v>
      </c>
    </row>
    <row r="47">
      <c r="A47" t="inlineStr">
        <is>
          <t>Email cost/month</t>
        </is>
      </c>
      <c r="B47" s="71" t="n">
        <v>0</v>
      </c>
    </row>
    <row r="48">
      <c r="A48" t="inlineStr">
        <is>
          <t>Monthly sessions estimate</t>
        </is>
      </c>
      <c r="B48">
        <f>MODEL!B2</f>
        <v/>
      </c>
    </row>
    <row r="49">
      <c r="A49" t="inlineStr">
        <is>
          <t>Monthly SMS volume</t>
        </is>
      </c>
      <c r="B49" s="49">
        <f>IF(B43,B48*B46,0)</f>
        <v/>
      </c>
    </row>
    <row r="50">
      <c r="A50" t="inlineStr">
        <is>
          <t>SMS cost/month</t>
        </is>
      </c>
      <c r="B50" s="51">
        <f>B49*B45</f>
        <v/>
      </c>
    </row>
    <row r="51">
      <c r="A51" t="inlineStr">
        <is>
          <t>Communications/month calculated</t>
        </is>
      </c>
      <c r="B51" s="51">
        <f>IF(OR(B41,B42,B43),B44,0)+B50+B47</f>
        <v/>
      </c>
    </row>
    <row r="52">
      <c r="A52" t="inlineStr">
        <is>
          <t>Communications notes</t>
        </is>
      </c>
      <c r="B52" s="72" t="inlineStr">
        <is>
          <t>Appointment confirmation email, 24-hour reminder email, SMS reminders, cancellation notice, intake-form follow-up</t>
        </is>
      </c>
    </row>
    <row r="56">
      <c r="A56" s="43" t="inlineStr">
        <is>
          <t>THERAPIST TABLET &amp; NOTE-TAKING</t>
        </is>
      </c>
    </row>
    <row r="57">
      <c r="A57" t="inlineStr">
        <is>
          <t>Tablet note-taking enabled?</t>
        </is>
      </c>
      <c r="B57" s="44" t="b">
        <v>1</v>
      </c>
    </row>
    <row r="58">
      <c r="A58" t="inlineStr">
        <is>
          <t>Tablets required</t>
        </is>
      </c>
      <c r="B58" s="49">
        <f>INPUTS!B2</f>
        <v/>
      </c>
    </row>
    <row r="59">
      <c r="A59" t="inlineStr">
        <is>
          <t>Tablet cost/unit</t>
        </is>
      </c>
      <c r="B59" s="71" t="n">
        <v>650</v>
      </c>
    </row>
    <row r="60">
      <c r="A60" t="inlineStr">
        <is>
          <t>Stylus cost/unit</t>
        </is>
      </c>
      <c r="B60" s="71" t="n">
        <v>120</v>
      </c>
    </row>
    <row r="61">
      <c r="A61" t="inlineStr">
        <is>
          <t>Tablet amortization months</t>
        </is>
      </c>
      <c r="B61" s="39" t="n">
        <v>24</v>
      </c>
    </row>
    <row r="62">
      <c r="A62" t="inlineStr">
        <is>
          <t>Secure note app/month/user</t>
        </is>
      </c>
      <c r="B62" s="71" t="n">
        <v>12</v>
      </c>
    </row>
    <row r="63">
      <c r="A63" t="inlineStr">
        <is>
          <t>AI note-review users</t>
        </is>
      </c>
      <c r="B63" s="39" t="n">
        <v>1</v>
      </c>
    </row>
    <row r="64">
      <c r="A64" t="inlineStr">
        <is>
          <t>AI note-review/month/user</t>
        </is>
      </c>
      <c r="B64" s="71" t="n">
        <v>15</v>
      </c>
    </row>
    <row r="65">
      <c r="A65" t="inlineStr">
        <is>
          <t>Device management/month/tablet</t>
        </is>
      </c>
      <c r="B65" s="71" t="n">
        <v>8</v>
      </c>
    </row>
    <row r="66">
      <c r="A66" t="inlineStr">
        <is>
          <t>Tablet hardware/month</t>
        </is>
      </c>
      <c r="B66" s="51">
        <f>IF(B57,(B58*(B59+B60))/B61,0)</f>
        <v/>
      </c>
    </row>
    <row r="67">
      <c r="A67" t="inlineStr">
        <is>
          <t>Note app/month</t>
        </is>
      </c>
      <c r="B67" s="51">
        <f>IF(B57,B58*B62,0)</f>
        <v/>
      </c>
    </row>
    <row r="68">
      <c r="A68" t="inlineStr">
        <is>
          <t>AI note-review/month</t>
        </is>
      </c>
      <c r="B68" s="51">
        <f>IF(B57,B63*B64,0)</f>
        <v/>
      </c>
    </row>
    <row r="69">
      <c r="A69" t="inlineStr">
        <is>
          <t>Device management/month</t>
        </is>
      </c>
      <c r="B69" s="51">
        <f>IF(B57,B58*B65,0)</f>
        <v/>
      </c>
    </row>
    <row r="70">
      <c r="A70" t="inlineStr">
        <is>
          <t>Tablet note-taking/month calculated</t>
        </is>
      </c>
      <c r="B70" s="51">
        <f>SUM(B66:B69)</f>
        <v/>
      </c>
    </row>
    <row r="71">
      <c r="A71" t="inlineStr">
        <is>
          <t>Tablet notes</t>
        </is>
      </c>
      <c r="B71" s="72" t="inlineStr">
        <is>
          <t>Therapist tablet setup for secure session notes, treatment-plan references, protocols, journal review, and post-session documentation</t>
        </is>
      </c>
    </row>
    <row r="76">
      <c r="A76" s="43" t="inlineStr">
        <is>
          <t>PATIENT MOBILE COMPANION APP</t>
        </is>
      </c>
    </row>
    <row r="77">
      <c r="A77" t="inlineStr">
        <is>
          <t>Patient app enabled?</t>
        </is>
      </c>
      <c r="B77" s="44" t="b">
        <v>0</v>
      </c>
    </row>
    <row r="78">
      <c r="A78" t="inlineStr">
        <is>
          <t>App phase</t>
        </is>
      </c>
      <c r="B78" s="39" t="n">
        <v>1</v>
      </c>
    </row>
    <row r="79">
      <c r="A79" t="inlineStr">
        <is>
          <t>App platform/month</t>
        </is>
      </c>
      <c r="B79" s="71" t="n">
        <v>150</v>
      </c>
    </row>
    <row r="80">
      <c r="A80" t="inlineStr">
        <is>
          <t>Journal module/month</t>
        </is>
      </c>
      <c r="B80" s="71" t="n">
        <v>75</v>
      </c>
    </row>
    <row r="81">
      <c r="A81" t="inlineStr">
        <is>
          <t>Protocol library/month</t>
        </is>
      </c>
      <c r="B81" s="71" t="n">
        <v>100</v>
      </c>
    </row>
    <row r="82">
      <c r="A82" t="inlineStr">
        <is>
          <t>Mood tracker/month</t>
        </is>
      </c>
      <c r="B82" s="71" t="n">
        <v>50</v>
      </c>
    </row>
    <row r="83">
      <c r="A83" t="inlineStr">
        <is>
          <t>Secure messaging/month</t>
        </is>
      </c>
      <c r="B83" s="71" t="n">
        <v>125</v>
      </c>
    </row>
    <row r="84">
      <c r="A84" t="inlineStr">
        <is>
          <t>App maintenance/admin/month</t>
        </is>
      </c>
      <c r="B84" s="71" t="n">
        <v>150</v>
      </c>
    </row>
    <row r="85">
      <c r="A85" t="inlineStr">
        <is>
          <t>Patient app/month calculated</t>
        </is>
      </c>
      <c r="B85" s="51">
        <f>IF(B77,CHOOSE(B78,B79+B80+B82,B79+B80+B81+B82,B79+B80+B81+B82+B83+B84),0)</f>
        <v/>
      </c>
    </row>
    <row r="86">
      <c r="A86" t="inlineStr">
        <is>
          <t>Patient app notes</t>
        </is>
      </c>
      <c r="B86" s="72" t="inlineStr">
        <is>
          <t>MVP includes reminders, journal, mood tracker, and resources. Phase 2 adds protocols and exercises. Phase 3 adds secure messaging and higher maintenance.</t>
        </is>
      </c>
    </row>
    <row r="90">
      <c r="A90" s="43" t="inlineStr">
        <is>
          <t>JURISDICTION &amp; GOVERNANCE COSTS</t>
        </is>
      </c>
    </row>
    <row r="91">
      <c r="A91" t="inlineStr">
        <is>
          <t>Jurisdiction mode</t>
        </is>
      </c>
      <c r="B91" s="81" t="inlineStr">
        <is>
          <t>Quebec</t>
        </is>
      </c>
    </row>
    <row r="92">
      <c r="A92" t="inlineStr">
        <is>
          <t>Include governance module?</t>
        </is>
      </c>
      <c r="B92" s="81" t="b">
        <v>0</v>
      </c>
    </row>
    <row r="93">
      <c r="A93" t="inlineStr">
        <is>
          <t>Quebec governance/month</t>
        </is>
      </c>
      <c r="B93" s="51">
        <f>COST_ASSUMPTIONS!B21</f>
        <v/>
      </c>
    </row>
    <row r="94">
      <c r="A94" t="inlineStr">
        <is>
          <t>Alberta clinic governance/month</t>
        </is>
      </c>
      <c r="B94" s="51">
        <f>COST_ASSUMPTIONS!C21</f>
        <v/>
      </c>
    </row>
    <row r="95">
      <c r="A95" t="inlineStr">
        <is>
          <t>Alberta solo governance/month</t>
        </is>
      </c>
      <c r="B95" s="51">
        <f>COST_ASSUMPTIONS!D21</f>
        <v/>
      </c>
    </row>
    <row r="96">
      <c r="A96" t="inlineStr">
        <is>
          <t>Selected governance/month</t>
        </is>
      </c>
      <c r="B96" s="51">
        <f>IF(B92,IF(B91="Quebec",B93,IF(B91="Alberta Clinic",B94,IF(B91="Alberta Solo",B95,0))),0)</f>
        <v/>
      </c>
    </row>
    <row r="97">
      <c r="A97" t="inlineStr">
        <is>
          <t>Governance notes</t>
        </is>
      </c>
      <c r="B97" s="72" t="inlineStr">
        <is>
          <t>Quebec uses heavier Law 25 compliance, audits, privacy governance and centralized platform controls. Alberta uses lighter PIPA governance and therapist-led confidentiality controls, especially for solo therapists.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mergeCells count="5">
    <mergeCell ref="A76:B76"/>
    <mergeCell ref="A90:B90"/>
    <mergeCell ref="A23:B23"/>
    <mergeCell ref="A40:B40"/>
    <mergeCell ref="A56:B56"/>
  </mergeCells>
  <dataValidations count="19">
    <dataValidation sqref="B2" showDropDown="0" showInputMessage="0" showErrorMessage="0" allowBlank="0" type="decimal" operator="between">
      <formula1>0</formula1>
      <formula2>1</formula2>
    </dataValidation>
    <dataValidation sqref="B3" showDropDown="0" showInputMessage="0" showErrorMessage="0" allowBlank="0" type="decimal" operator="between">
      <formula1>0.5</formula1>
      <formula2>1</formula2>
    </dataValidation>
    <dataValidation sqref="B23" showDropDown="0" showInputMessage="0" showErrorMessage="0" allowBlank="0" type="decimal" operator="between">
      <formula1>0</formula1>
      <formula2>1</formula2>
    </dataValidation>
    <dataValidation sqref="B16" showDropDown="0" showInputMessage="0" showErrorMessage="0" allowBlank="0" type="decimal" operator="between">
      <formula1>0</formula1>
      <formula2>1</formula2>
    </dataValidation>
    <dataValidation sqref="B24" showDropDown="0" showInputMessage="0" showErrorMessage="0" allowBlank="0" type="whole" operator="between">
      <formula1>1</formula1>
      <formula2>3</formula2>
    </dataValidation>
    <dataValidation sqref="B27 B28" showDropDown="0" showInputMessage="0" showErrorMessage="0" allowBlank="0" type="whole" operator="between">
      <formula1>0</formula1>
      <formula2>50</formula2>
    </dataValidation>
    <dataValidation sqref="B29" showDropDown="0" showInputMessage="0" showErrorMessage="0" allowBlank="0" type="list">
      <formula1>"TRUE,FALSE"</formula1>
    </dataValidation>
    <dataValidation sqref="B41 B42 B43" showDropDown="0" showInputMessage="0" showErrorMessage="0" allowBlank="0" type="list">
      <formula1>"TRUE,FALSE"</formula1>
    </dataValidation>
    <dataValidation sqref="B44 B45 B47" showDropDown="0" showInputMessage="0" showErrorMessage="0" allowBlank="0" type="decimal" operator="greaterThanOrEqual">
      <formula1>0</formula1>
    </dataValidation>
    <dataValidation sqref="B46" showDropDown="0" showInputMessage="0" showErrorMessage="0" allowBlank="0" type="whole" operator="between">
      <formula1>0</formula1>
      <formula2>5</formula2>
    </dataValidation>
    <dataValidation sqref="B57" showDropDown="0" showInputMessage="0" showErrorMessage="0" allowBlank="0" type="list">
      <formula1>"TRUE,FALSE"</formula1>
    </dataValidation>
    <dataValidation sqref="B59 B60 B62 B64 B65" showDropDown="0" showInputMessage="0" showErrorMessage="0" allowBlank="0" type="decimal" operator="greaterThanOrEqual">
      <formula1>0</formula1>
    </dataValidation>
    <dataValidation sqref="B61" showDropDown="0" showInputMessage="0" showErrorMessage="0" allowBlank="0" type="whole" operator="between">
      <formula1>12</formula1>
      <formula2>48</formula2>
    </dataValidation>
    <dataValidation sqref="B63" showDropDown="0" showInputMessage="0" showErrorMessage="0" allowBlank="0" type="whole" operator="between">
      <formula1>0</formula1>
      <formula2>50</formula2>
    </dataValidation>
    <dataValidation sqref="B77" showDropDown="0" showInputMessage="0" showErrorMessage="0" allowBlank="0" type="list">
      <formula1>"TRUE,FALSE"</formula1>
    </dataValidation>
    <dataValidation sqref="B78" showDropDown="0" showInputMessage="0" showErrorMessage="0" allowBlank="0" type="whole" operator="between">
      <formula1>1</formula1>
      <formula2>3</formula2>
    </dataValidation>
    <dataValidation sqref="B79 B80 B81 B82 B83 B84" showDropDown="0" showInputMessage="0" showErrorMessage="0" allowBlank="0" type="decimal" operator="greaterThanOrEqual">
      <formula1>0</formula1>
    </dataValidation>
    <dataValidation sqref="B91" showDropDown="0" showInputMessage="0" showErrorMessage="0" allowBlank="0" type="list">
      <formula1>"Quebec,Alberta Clinic,Alberta Solo"</formula1>
    </dataValidation>
    <dataValidation sqref="B92" showDropDown="0" showInputMessage="0" showErrorMessage="0" allowBlank="0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1" t="inlineStr">
        <is>
          <t>Tier [DRAFT_OP_V5]</t>
        </is>
      </c>
      <c r="B1" s="1" t="inlineStr">
        <is>
          <t>Rate_Per_Session (CAD) [DRAFT_OP_V5]</t>
        </is>
      </c>
    </row>
    <row r="2">
      <c r="A2" s="13" t="inlineStr">
        <is>
          <t>Intern [DRAFT_OP_V5]</t>
        </is>
      </c>
      <c r="B2" s="6" t="n">
        <v>120</v>
      </c>
    </row>
    <row r="3">
      <c r="A3" s="13" t="inlineStr">
        <is>
          <t>Junior [DRAFT_OP_V5]</t>
        </is>
      </c>
      <c r="B3" s="6" t="n">
        <v>150</v>
      </c>
    </row>
    <row r="4">
      <c r="A4" s="13" t="inlineStr">
        <is>
          <t>Senior [DRAFT_OP_V5]</t>
        </is>
      </c>
      <c r="B4" s="6" t="n">
        <v>190</v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8" customWidth="1" min="5" max="5"/>
    <col width="22" customWidth="1" min="6" max="6"/>
  </cols>
  <sheetData>
    <row r="1">
      <c r="A1" s="1" t="inlineStr">
        <is>
          <t>Therapist_ID [DRAFT_OP_V5]</t>
        </is>
      </c>
      <c r="B1" s="1" t="inlineStr">
        <is>
          <t>Tier (Intern / Jr / Sr) [DRAFT_OP_V5]</t>
        </is>
      </c>
      <c r="C1" s="1" t="inlineStr">
        <is>
          <t>Weekly_Hours [DRAFT_OP_V5]</t>
        </is>
      </c>
      <c r="D1" s="1" t="inlineStr">
        <is>
          <t>Rate_Per_Session (CAD) [DRAFT_OP_V5]</t>
        </is>
      </c>
      <c r="E1" s="1" t="inlineStr">
        <is>
          <t>Monthly clinic share [DRAFT_OP_V5]</t>
        </is>
      </c>
      <c r="F1" s="1" t="inlineStr">
        <is>
          <t>Monthly gross billing (ref.) [DRAFT_OP_V5]</t>
        </is>
      </c>
    </row>
    <row r="2">
      <c r="A2" s="13" t="n"/>
      <c r="B2" s="13" t="n"/>
      <c r="C2" s="4" t="n"/>
      <c r="D2" s="6" t="n"/>
      <c r="E2" s="11">
        <f>$C2*4*$D2*INPUTS!$B$2</f>
        <v/>
      </c>
      <c r="F2" s="11">
        <f>$C2*4*$D2</f>
        <v/>
      </c>
    </row>
    <row r="3">
      <c r="A3" s="13" t="n"/>
      <c r="B3" s="13" t="n"/>
      <c r="C3" s="4" t="n"/>
      <c r="D3" s="6" t="n"/>
      <c r="E3" s="11">
        <f>$C3*4*$D3*INPUTS!$B$2</f>
        <v/>
      </c>
      <c r="F3" s="11">
        <f>$C3*4*$D3</f>
        <v/>
      </c>
    </row>
    <row r="4">
      <c r="A4" s="13" t="n"/>
      <c r="B4" s="13" t="n"/>
      <c r="C4" s="4" t="n"/>
      <c r="D4" s="6" t="n"/>
      <c r="E4" s="11">
        <f>$C4*4*$D4*INPUTS!$B$2</f>
        <v/>
      </c>
      <c r="F4" s="11">
        <f>$C4*4*$D4</f>
        <v/>
      </c>
    </row>
    <row r="5">
      <c r="A5" s="13" t="n"/>
      <c r="B5" s="13" t="n"/>
      <c r="C5" s="4" t="n"/>
      <c r="D5" s="6" t="n"/>
      <c r="E5" s="11">
        <f>$C5*4*$D5*INPUTS!$B$2</f>
        <v/>
      </c>
      <c r="F5" s="11">
        <f>$C5*4*$D5</f>
        <v/>
      </c>
    </row>
    <row r="6">
      <c r="A6" s="13" t="n"/>
      <c r="B6" s="13" t="n"/>
      <c r="C6" s="4" t="n"/>
      <c r="D6" s="6" t="n"/>
      <c r="E6" s="11">
        <f>$C6*4*$D6*INPUTS!$B$2</f>
        <v/>
      </c>
      <c r="F6" s="11">
        <f>$C6*4*$D6</f>
        <v/>
      </c>
    </row>
    <row r="7">
      <c r="A7" s="13" t="n"/>
      <c r="B7" s="13" t="n"/>
      <c r="C7" s="4" t="n"/>
      <c r="D7" s="6" t="n"/>
      <c r="E7" s="11">
        <f>$C7*4*$D7*INPUTS!$B$2</f>
        <v/>
      </c>
      <c r="F7" s="11">
        <f>$C7*4*$D7</f>
        <v/>
      </c>
    </row>
    <row r="8">
      <c r="A8" s="13" t="n"/>
      <c r="B8" s="13" t="n"/>
      <c r="C8" s="4" t="n"/>
      <c r="D8" s="6" t="n"/>
      <c r="E8" s="11">
        <f>$C8*4*$D8*INPUTS!$B$2</f>
        <v/>
      </c>
      <c r="F8" s="11">
        <f>$C8*4*$D8</f>
        <v/>
      </c>
    </row>
    <row r="9">
      <c r="A9" s="13" t="n"/>
      <c r="B9" s="13" t="n"/>
      <c r="C9" s="4" t="n"/>
      <c r="D9" s="6" t="n"/>
      <c r="E9" s="11">
        <f>$C9*4*$D9*INPUTS!$B$2</f>
        <v/>
      </c>
      <c r="F9" s="11">
        <f>$C9*4*$D9</f>
        <v/>
      </c>
    </row>
    <row r="10">
      <c r="A10" s="13" t="n"/>
      <c r="B10" s="13" t="n"/>
      <c r="C10" s="4" t="n"/>
      <c r="D10" s="6" t="n"/>
      <c r="E10" s="11">
        <f>$C10*4*$D10*INPUTS!$B$2</f>
        <v/>
      </c>
      <c r="F10" s="11">
        <f>$C10*4*$D10</f>
        <v/>
      </c>
    </row>
    <row r="11">
      <c r="A11" s="13" t="n"/>
      <c r="B11" s="13" t="n"/>
      <c r="C11" s="4" t="n"/>
      <c r="D11" s="6" t="n"/>
      <c r="E11" s="11">
        <f>$C11*4*$D11*INPUTS!$B$2</f>
        <v/>
      </c>
      <c r="F11" s="11">
        <f>$C11*4*$D11</f>
        <v/>
      </c>
    </row>
    <row r="12">
      <c r="A12" s="13" t="n"/>
      <c r="B12" s="13" t="n"/>
      <c r="C12" s="4" t="n"/>
      <c r="D12" s="6" t="n"/>
      <c r="E12" s="11">
        <f>$C12*4*$D12*INPUTS!$B$2</f>
        <v/>
      </c>
      <c r="F12" s="11">
        <f>$C12*4*$D12</f>
        <v/>
      </c>
    </row>
    <row r="13">
      <c r="A13" s="13" t="n"/>
      <c r="B13" s="13" t="n"/>
      <c r="C13" s="4" t="n"/>
      <c r="D13" s="6" t="n"/>
      <c r="E13" s="11">
        <f>$C13*4*$D13*INPUTS!$B$2</f>
        <v/>
      </c>
      <c r="F13" s="11">
        <f>$C13*4*$D13</f>
        <v/>
      </c>
    </row>
    <row r="14">
      <c r="A14" s="13" t="n"/>
      <c r="B14" s="13" t="n"/>
      <c r="C14" s="4" t="n"/>
      <c r="D14" s="6" t="n"/>
      <c r="E14" s="11">
        <f>$C14*4*$D14*INPUTS!$B$2</f>
        <v/>
      </c>
      <c r="F14" s="11">
        <f>$C14*4*$D14</f>
        <v/>
      </c>
    </row>
    <row r="15">
      <c r="A15" s="13" t="n"/>
      <c r="B15" s="13" t="n"/>
      <c r="C15" s="4" t="n"/>
      <c r="D15" s="6" t="n"/>
      <c r="E15" s="11">
        <f>$C15*4*$D15*INPUTS!$B$2</f>
        <v/>
      </c>
      <c r="F15" s="11">
        <f>$C15*4*$D15</f>
        <v/>
      </c>
    </row>
    <row r="16">
      <c r="A16" s="13" t="n"/>
      <c r="B16" s="13" t="n"/>
      <c r="C16" s="4" t="n"/>
      <c r="D16" s="6" t="n"/>
      <c r="E16" s="11">
        <f>$C16*4*$D16*INPUTS!$B$2</f>
        <v/>
      </c>
      <c r="F16" s="11">
        <f>$C16*4*$D16</f>
        <v/>
      </c>
    </row>
    <row r="17">
      <c r="A17" s="13" t="n"/>
      <c r="B17" s="13" t="n"/>
      <c r="C17" s="4" t="n"/>
      <c r="D17" s="6" t="n"/>
      <c r="E17" s="11">
        <f>$C17*4*$D17*INPUTS!$B$2</f>
        <v/>
      </c>
      <c r="F17" s="11">
        <f>$C17*4*$D17</f>
        <v/>
      </c>
    </row>
    <row r="18">
      <c r="A18" s="13" t="n"/>
      <c r="B18" s="13" t="n"/>
      <c r="C18" s="4" t="n"/>
      <c r="D18" s="6" t="n"/>
      <c r="E18" s="11">
        <f>$C18*4*$D18*INPUTS!$B$2</f>
        <v/>
      </c>
      <c r="F18" s="11">
        <f>$C18*4*$D18</f>
        <v/>
      </c>
    </row>
    <row r="19">
      <c r="A19" s="13" t="n"/>
      <c r="B19" s="13" t="n"/>
      <c r="C19" s="4" t="n"/>
      <c r="D19" s="6" t="n"/>
      <c r="E19" s="11">
        <f>$C19*4*$D19*INPUTS!$B$2</f>
        <v/>
      </c>
      <c r="F19" s="11">
        <f>$C19*4*$D19</f>
        <v/>
      </c>
    </row>
    <row r="20">
      <c r="A20" s="13" t="n"/>
      <c r="B20" s="13" t="n"/>
      <c r="C20" s="4" t="n"/>
      <c r="D20" s="6" t="n"/>
      <c r="E20" s="11">
        <f>$C20*4*$D20*INPUTS!$B$2</f>
        <v/>
      </c>
      <c r="F20" s="11">
        <f>$C20*4*$D20</f>
        <v/>
      </c>
    </row>
    <row r="21">
      <c r="A21" s="13" t="n"/>
      <c r="B21" s="13" t="n"/>
      <c r="C21" s="4" t="n"/>
      <c r="D21" s="6" t="n"/>
      <c r="E21" s="11">
        <f>$C21*4*$D21*INPUTS!$B$2</f>
        <v/>
      </c>
      <c r="F21" s="11">
        <f>$C21*4*$D21</f>
        <v/>
      </c>
    </row>
    <row r="22">
      <c r="A22" s="1" t="inlineStr">
        <is>
          <t>TOTAL [DRAFT_OP_V5]</t>
        </is>
      </c>
      <c r="E22" s="11">
        <f>SUM(E2:E21)</f>
        <v/>
      </c>
      <c r="F22" s="11">
        <f>SUM(F2:F21)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28" customWidth="1" min="3" max="3"/>
    <col width="18" customWidth="1" min="4" max="4"/>
  </cols>
  <sheetData>
    <row r="1">
      <c r="A1" s="14" t="inlineStr">
        <is>
          <t>Operating costs — detail [DRAFT_OP_V5]</t>
        </is>
      </c>
    </row>
    <row r="3">
      <c r="A3" s="1" t="inlineStr">
        <is>
          <t>Category [DRAFT_OP_V5]</t>
        </is>
      </c>
      <c r="B3" s="1" t="inlineStr">
        <is>
          <t>Monthly CAD [DRAFT_OP_V5]</t>
        </is>
      </c>
      <c r="C3" s="1" t="inlineStr">
        <is>
          <t>Notes [DRAFT_OP_V5] [PENDING_DATA]</t>
        </is>
      </c>
      <c r="D3" s="1" t="inlineStr">
        <is>
          <t>In Path B (light) [DRAFT_OP_V5]</t>
        </is>
      </c>
    </row>
    <row r="4">
      <c r="A4" t="inlineStr">
        <is>
          <t>Professional insurance — QC (psych) [DRAFT_OP_V5]</t>
        </is>
      </c>
      <c r="B4" s="6">
        <f>INPUTS!$B$39</f>
        <v/>
      </c>
      <c r="C4" t="inlineStr">
        <is>
          <t>—</t>
        </is>
      </c>
      <c r="D4" t="inlineStr">
        <is>
          <t>N</t>
        </is>
      </c>
    </row>
    <row r="5">
      <c r="A5" t="inlineStr">
        <is>
          <t>Regulatory compliance — OPQ [DRAFT_OP_V5]</t>
        </is>
      </c>
      <c r="B5" s="6" t="n">
        <v>0</v>
      </c>
      <c r="C5" t="inlineStr">
        <is>
          <t>—</t>
        </is>
      </c>
      <c r="D5" t="inlineStr">
        <is>
          <t>N</t>
        </is>
      </c>
    </row>
    <row r="6">
      <c r="A6" t="inlineStr">
        <is>
          <t>Software — base stack (excl. Jane) [DRAFT_OP_V5]</t>
        </is>
      </c>
      <c r="B6" s="6" t="n">
        <v>0</v>
      </c>
      <c r="C6" t="inlineStr">
        <is>
          <t>—</t>
        </is>
      </c>
      <c r="D6" t="inlineStr">
        <is>
          <t>Y</t>
        </is>
      </c>
    </row>
    <row r="7">
      <c r="A7" t="inlineStr">
        <is>
          <t>Jane App (Compliance) [DRAFT_OP_V5]</t>
        </is>
      </c>
      <c r="B7" s="6">
        <f>INPUTS!$B$33</f>
        <v/>
      </c>
      <c r="C7" t="inlineStr">
        <is>
          <t>—</t>
        </is>
      </c>
      <c r="D7" t="inlineStr">
        <is>
          <t>Y</t>
        </is>
      </c>
    </row>
    <row r="8">
      <c r="A8" t="inlineStr">
        <is>
          <t>Automated marketing (base) [DRAFT_OP_V5]</t>
        </is>
      </c>
      <c r="B8" s="6">
        <f>INPUTS!$B$31</f>
        <v/>
      </c>
      <c r="C8" t="inlineStr">
        <is>
          <t>—</t>
        </is>
      </c>
      <c r="D8" t="inlineStr">
        <is>
          <t>Y</t>
        </is>
      </c>
    </row>
    <row r="9">
      <c r="A9" t="inlineStr">
        <is>
          <t>Domain / Hosting / Phone [DRAFT_OP_V5]</t>
        </is>
      </c>
      <c r="B9" s="6">
        <f>INPUTS!$B$40</f>
        <v/>
      </c>
      <c r="C9" t="inlineStr">
        <is>
          <t>—</t>
        </is>
      </c>
      <c r="D9" t="inlineStr">
        <is>
          <t>Y</t>
        </is>
      </c>
    </row>
    <row r="10">
      <c r="A10" t="inlineStr">
        <is>
          <t>Other operating [DRAFT_OP_V5]</t>
        </is>
      </c>
      <c r="B10" s="6" t="n">
        <v>0</v>
      </c>
      <c r="C10" t="inlineStr">
        <is>
          <t>—</t>
        </is>
      </c>
      <c r="D10" t="inlineStr">
        <is>
          <t>Y</t>
        </is>
      </c>
    </row>
    <row r="11">
      <c r="A11" t="inlineStr">
        <is>
          <t>Municipal license / business registration [DRAFT_OP_V5]</t>
        </is>
      </c>
      <c r="B11" s="6">
        <f>INPUTS!$B$36/12</f>
        <v/>
      </c>
      <c r="C11" t="inlineStr">
        <is>
          <t>—</t>
        </is>
      </c>
      <c r="D11" t="inlineStr">
        <is>
          <t>Y</t>
        </is>
      </c>
    </row>
    <row r="12">
      <c r="A12" t="inlineStr">
        <is>
          <t>Professional liability — Social Work [DRAFT_OP_V5]</t>
        </is>
      </c>
      <c r="B12" s="6">
        <f>INPUTS!$B$37/12</f>
        <v/>
      </c>
      <c r="C12" t="inlineStr">
        <is>
          <t>—</t>
        </is>
      </c>
      <c r="D12" t="inlineStr">
        <is>
          <t>Y</t>
        </is>
      </c>
    </row>
    <row r="14">
      <c r="A14" s="1" t="inlineStr">
        <is>
          <t>Total monthly (all lines) [DRAFT_OP_V5]</t>
        </is>
      </c>
      <c r="B14" s="11">
        <f>SUM(B4:B12)</f>
        <v/>
      </c>
    </row>
    <row r="15">
      <c r="A15" s="15" t="inlineStr">
        <is>
          <t>Path B — monthly opex (excl. QC ins. + OPQ) [DRAFT_OP_V5]</t>
        </is>
      </c>
      <c r="B15" s="11">
        <f>SUMIF(D4:D12,"Y",B4:B12)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</cols>
  <sheetData>
    <row r="1">
      <c r="A1" s="14" t="inlineStr">
        <is>
          <t>Infrastructure assets — line items (INFRASTRUCTURE_ASSETS.csv) [DRAFT_OP_V5]</t>
        </is>
      </c>
    </row>
    <row r="3">
      <c r="A3" s="1" t="inlineStr">
        <is>
          <t>Line item [DRAFT_OP_V5]</t>
        </is>
      </c>
      <c r="B3" s="1" t="inlineStr">
        <is>
          <t>Hours [DRAFT_OP_V5]</t>
        </is>
      </c>
      <c r="C3" s="1" t="inlineStr">
        <is>
          <t>Reference rate ($/hr) [DRAFT_OP_V5]</t>
        </is>
      </c>
      <c r="D3" s="1" t="inlineStr">
        <is>
          <t>Value (CAD) [DRAFT_OP_V5]</t>
        </is>
      </c>
    </row>
    <row r="4">
      <c r="A4" s="13" t="inlineStr">
        <is>
          <t>Gemini Architecture [DRAFT_OP_V5]</t>
        </is>
      </c>
      <c r="B4" s="3" t="n">
        <v>18.5</v>
      </c>
      <c r="C4" s="6" t="n">
        <v>125</v>
      </c>
      <c r="D4" s="10">
        <f>B4*C4</f>
        <v/>
      </c>
    </row>
    <row r="5">
      <c r="A5" s="13" t="inlineStr">
        <is>
          <t>ChatGPT Mockups [DRAFT_OP_V5]</t>
        </is>
      </c>
      <c r="B5" s="4" t="n">
        <v>8</v>
      </c>
      <c r="C5" s="6" t="n">
        <v>125</v>
      </c>
      <c r="D5" s="10">
        <f>B5*C5</f>
        <v/>
      </c>
    </row>
    <row r="6">
      <c r="A6" s="13" t="inlineStr">
        <is>
          <t>Grok Research [DRAFT_OP_V5]</t>
        </is>
      </c>
      <c r="B6" s="4" t="n">
        <v>4</v>
      </c>
      <c r="C6" s="6" t="n">
        <v>125</v>
      </c>
      <c r="D6" s="10">
        <f>B6*C6</f>
        <v/>
      </c>
    </row>
    <row r="7">
      <c r="A7" s="13" t="inlineStr">
        <is>
          <t>Systems Integration (Cursor) [DRAFT_OP_V5]</t>
        </is>
      </c>
      <c r="B7" s="4" t="n">
        <v>2</v>
      </c>
      <c r="C7" s="6" t="n">
        <v>125</v>
      </c>
      <c r="D7" s="10">
        <f>B7*C7</f>
        <v/>
      </c>
    </row>
    <row r="8">
      <c r="A8" s="13" t="inlineStr">
        <is>
          <t>Software Subscriptions (Cursor/Tools) [DRAFT_OP_V5]</t>
        </is>
      </c>
      <c r="B8" s="4" t="n">
        <v>0</v>
      </c>
      <c r="C8" s="6" t="n">
        <v>0</v>
      </c>
      <c r="D8" s="10" t="n">
        <v>0</v>
      </c>
    </row>
    <row r="9">
      <c r="A9" s="1" t="inlineStr">
        <is>
          <t>Total — line-item value (CAD) [DRAFT_OP_V5]</t>
        </is>
      </c>
      <c r="B9" s="11">
        <f>SUM(D4:D8)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>
      <c r="A1" s="14" t="inlineStr">
        <is>
          <t>CAPEX_SUMMARY [DRAFT_OP_V5]</t>
        </is>
      </c>
    </row>
    <row r="3">
      <c r="A3" t="inlineStr">
        <is>
          <t>Total Initial Valuation (CAD)</t>
        </is>
      </c>
      <c r="B3" s="16">
        <f>INFRASTRUCTURE_ASSETS!$B$9</f>
        <v/>
      </c>
    </row>
    <row r="4">
      <c r="A4" t="inlineStr">
        <is>
          <t>Architect's System Contribution</t>
        </is>
      </c>
      <c r="B4" s="16">
        <f>B3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Partnership structure — ownership [DRAFT_OP_V5]</t>
        </is>
      </c>
    </row>
    <row r="2">
      <c r="A2" t="inlineStr">
        <is>
          <t>Post-money valuation (CAD) [DRAFT_OP_V5]</t>
        </is>
      </c>
      <c r="B2" s="6" t="n">
        <v>0</v>
      </c>
    </row>
    <row r="4">
      <c r="A4" s="1" t="inlineStr">
        <is>
          <t>Party [DRAFT_OP_V5]</t>
        </is>
      </c>
      <c r="B4" s="1" t="inlineStr">
        <is>
          <t>Capital ($) [DRAFT_OP_V5]</t>
        </is>
      </c>
      <c r="C4" s="1" t="inlineStr">
        <is>
          <t>Sweat hrs [DRAFT_OP_V5]</t>
        </is>
      </c>
      <c r="D4" s="1" t="inlineStr">
        <is>
          <t>Rate ($) [DRAFT_OP_V5]</t>
        </is>
      </c>
      <c r="E4" s="1" t="inlineStr">
        <is>
          <t>Contribution [DRAFT_OP_V5]</t>
        </is>
      </c>
      <c r="F4" s="1" t="inlineStr">
        <is>
          <t>% Own [DRAFT_OP_V5]</t>
        </is>
      </c>
    </row>
    <row r="5">
      <c r="A5" s="13" t="inlineStr">
        <is>
          <t>Principal A (infrastructure) [DRAFT_OP_V5]</t>
        </is>
      </c>
      <c r="B5" s="6" t="n">
        <v>0</v>
      </c>
      <c r="C5" s="13" t="n">
        <v>0</v>
      </c>
      <c r="D5" s="6" t="n">
        <v>0</v>
      </c>
      <c r="E5" s="11">
        <f>B5+C5*D5+INFRASTRUCTURE_ASSETS!$B$9</f>
        <v/>
      </c>
      <c r="F5" s="17">
        <f>IF(SUM($E$5:$E$8)=0,0,E5/SUM($E$5:$E$8))</f>
        <v/>
      </c>
    </row>
    <row r="6">
      <c r="A6" s="13" t="inlineStr">
        <is>
          <t>Partner L [DRAFT_OP_V5]</t>
        </is>
      </c>
      <c r="B6" s="6" t="n">
        <v>0</v>
      </c>
      <c r="C6" s="13" t="n">
        <v>0</v>
      </c>
      <c r="D6" s="6" t="n">
        <v>0</v>
      </c>
      <c r="E6" s="11">
        <f>B6+C6*D6</f>
        <v/>
      </c>
      <c r="F6" s="17">
        <f>IF(SUM($E$5:$E$8)=0,0,E6/SUM($E$5:$E$8))</f>
        <v/>
      </c>
    </row>
    <row r="7">
      <c r="A7" s="13" t="inlineStr">
        <is>
          <t>Principal C [DRAFT_OP_V5]</t>
        </is>
      </c>
      <c r="B7" s="6" t="n">
        <v>0</v>
      </c>
      <c r="C7" s="13" t="n">
        <v>0</v>
      </c>
      <c r="D7" s="6" t="n">
        <v>0</v>
      </c>
      <c r="E7" s="11">
        <f>B7+C7*D7</f>
        <v/>
      </c>
      <c r="F7" s="17">
        <f>IF(SUM($E$5:$E$8)=0,0,E7/SUM($E$5:$E$8))</f>
        <v/>
      </c>
    </row>
    <row r="8">
      <c r="A8" s="13" t="inlineStr">
        <is>
          <t>Director (res.) [DRAFT_OP_V5]</t>
        </is>
      </c>
      <c r="B8" s="6" t="n">
        <v>0</v>
      </c>
      <c r="C8" s="13" t="n">
        <v>0</v>
      </c>
      <c r="D8" s="6" t="n">
        <v>0</v>
      </c>
      <c r="E8" s="11">
        <f>B8+C8*D8</f>
        <v/>
      </c>
      <c r="F8" s="17">
        <f>IF(SUM($E$5:$E$8)=0,0,E8/SUM($E$5:$E$8))</f>
        <v/>
      </c>
    </row>
    <row r="13">
      <c r="A13" t="inlineStr">
        <is>
          <t>Total [DRAFT_OP_V5]</t>
        </is>
      </c>
      <c r="B13" s="11">
        <f>SUM(E5:E8)</f>
        <v/>
      </c>
    </row>
    <row r="14">
      <c r="A14" t="inlineStr">
        <is>
          <t>Δ vs post-money [DRAFT_OP_V5]</t>
        </is>
      </c>
      <c r="B14" s="11">
        <f>B13-B2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>
      <c r="A1" s="1" t="inlineStr">
        <is>
          <t>METRIC [DRAFT_OP_V5]</t>
        </is>
      </c>
      <c r="B1" s="1" t="inlineStr">
        <is>
          <t>VALUE [DRAFT_OP_V5]</t>
        </is>
      </c>
    </row>
    <row r="3">
      <c r="A3" t="inlineStr">
        <is>
          <t>Director — clinic share revenue (solvency anchor) [DRAFT_OP_V5]</t>
        </is>
      </c>
      <c r="B3" s="18">
        <f>INPUTS!$B$9*INPUTS!$B$10*INPUTS!$B$2</f>
        <v/>
      </c>
    </row>
    <row r="4">
      <c r="A4" t="inlineStr">
        <is>
          <t>Roster — clinic share [DRAFT_OP_V5]</t>
        </is>
      </c>
      <c r="B4" s="18">
        <f>ROSTER!$E$22</f>
        <v/>
      </c>
    </row>
    <row r="5">
      <c r="A5" t="inlineStr">
        <is>
          <t>Total clinic margin [DRAFT_OP_V5]</t>
        </is>
      </c>
      <c r="B5" s="18">
        <f>B3+B4</f>
        <v/>
      </c>
    </row>
    <row r="6">
      <c r="A6" t="inlineStr">
        <is>
          <t>Operating_Costs (incl. director hybrid pay) [DRAFT_OP_V5]</t>
        </is>
      </c>
      <c r="B6" s="18">
        <f>(OPERATING_COSTS!$B$14+IF(COUNTA(ROSTER!$A$2:$A$21)&gt;=INPUTS!$B$12,INPUTS!$B$15,0)+INPUTS!$B$13*INPUTS!$B$14+IF(COUNTA(ROSTER!$A$2:$A$21)&lt;INPUTS!$B$12,0,IF(INPUTS!$B$16&gt;0,ROSTER!$F$22*INPUTS!$B$16,IF(INPUTS!$B$17&gt;0,SUM(ROSTER!$C$2:$C$21)*4*INPUTS!$B$17,0)))+INPUTS!$B$7*INPUTS!$B$8+INPUTS!$B$9*INPUTS!$B$11)</f>
        <v/>
      </c>
    </row>
    <row r="7">
      <c r="A7" t="inlineStr">
        <is>
          <t>Partner_L_Draw (fixed) [DRAFT_OP_V5]</t>
        </is>
      </c>
      <c r="B7" s="18">
        <f>INPUTS!$B$6</f>
        <v/>
      </c>
    </row>
    <row r="8">
      <c r="A8" t="inlineStr">
        <is>
          <t>Total fixed costs</t>
        </is>
      </c>
      <c r="B8" s="18">
        <f>SUM(B6:B7,INPUTS!B12:INPUTS!B18,INPUTS!B21)</f>
        <v/>
      </c>
    </row>
    <row r="9">
      <c r="A9" t="inlineStr">
        <is>
          <t>Tax [DRAFT_OP_V5]</t>
        </is>
      </c>
      <c r="B9" s="18">
        <f>IF(B8&gt;0,B8*INPUTS!$B$19,0)</f>
        <v/>
      </c>
    </row>
    <row r="10">
      <c r="A10" t="inlineStr">
        <is>
          <t>Net after tax (before ADJUSTMENT_RESERVE) [DRAFT_OP_V5]</t>
        </is>
      </c>
      <c r="B10" s="18">
        <f>B8-B9</f>
        <v/>
      </c>
    </row>
    <row r="11">
      <c r="A11" t="inlineStr">
        <is>
          <t>ADJUSTMENT_RESERVE (INPUTS — last lever) [DRAFT_OP_V5]</t>
        </is>
      </c>
      <c r="B11" s="18">
        <f>INPUTS!$B$41</f>
        <v/>
      </c>
    </row>
    <row r="12">
      <c r="A12" t="inlineStr">
        <is>
          <t>Net profit (final) [DRAFT_OP_V5]</t>
        </is>
      </c>
      <c r="B12" s="18">
        <f>B10+B11</f>
        <v/>
      </c>
    </row>
    <row r="13">
      <c r="A13" t="inlineStr">
        <is>
          <t>Alert — equity redemption [DRAFT_OP_V5]</t>
        </is>
      </c>
      <c r="B13">
        <f>IF(B12&lt;INPUTS!$B$6,"EQUITY REDEMPTION REQUIRED","")</f>
        <v/>
      </c>
    </row>
    <row r="14">
      <c r="A14" t="inlineStr">
        <is>
          <t>Validation — solvency (ops + draw &gt; margin) [DRAFT_OP_V5]</t>
        </is>
      </c>
      <c r="B14">
        <f>IF(B6+B7&gt;B5,"WARNING: CLINIC INSOLVENT","")</f>
        <v/>
      </c>
    </row>
    <row r="16">
      <c r="A16" t="inlineStr">
        <is>
          <t>Reference — therapist-side (1 − Clinic %) × gross [DRAFT_OP_V5]</t>
        </is>
      </c>
      <c r="B16" s="18">
        <f>ROSTER!$F$22*(1-INPUTS!$B$2)</f>
        <v/>
      </c>
    </row>
    <row r="17">
      <c r="A17" t="inlineStr">
        <is>
          <t>Software phase</t>
        </is>
      </c>
      <c r="B17" s="49">
        <f>INPUTS!B24</f>
        <v/>
      </c>
    </row>
    <row r="18">
      <c r="A18" t="inlineStr">
        <is>
          <t>Jane plan</t>
        </is>
      </c>
      <c r="B18" s="50">
        <f>INPUTS!B25</f>
        <v/>
      </c>
    </row>
    <row r="19">
      <c r="A19" t="inlineStr">
        <is>
          <t>Software/month</t>
        </is>
      </c>
      <c r="B19" s="51">
        <f>INPUTS!B31</f>
        <v/>
      </c>
    </row>
    <row r="20">
      <c r="A20" t="inlineStr">
        <is>
          <t>Dividend — Partner L [DRAFT_OP_V5]</t>
        </is>
      </c>
      <c r="B20" s="18">
        <f>$B$18*PARTNERSHIP_STRUCTURE!$F$6</f>
        <v/>
      </c>
    </row>
    <row r="21">
      <c r="A21" t="inlineStr">
        <is>
          <t>Monthly burn (if negative)</t>
        </is>
      </c>
      <c r="B21" s="51">
        <f>IF(B12&lt;0,ABS(B12),0)</f>
        <v/>
      </c>
    </row>
    <row r="22">
      <c r="A22" t="inlineStr">
        <is>
          <t>Months runway (assume 25k cash)</t>
        </is>
      </c>
      <c r="B22">
        <f>IF(B21&gt;0,25000/B21,"Profitable")</f>
        <v/>
      </c>
    </row>
    <row r="23">
      <c r="A23" t="inlineStr">
        <is>
          <t>Check (pool) [DRAFT_OP_V5]</t>
        </is>
      </c>
      <c r="B23" s="18">
        <f>B18-SUM(B19:B22)</f>
        <v/>
      </c>
    </row>
    <row r="24">
      <c r="A24" t="inlineStr">
        <is>
          <t>Target check</t>
        </is>
      </c>
      <c r="B24">
        <f>IF(B12&gt;=INPUTS!B20,"Target reached","Below target")</f>
        <v/>
      </c>
    </row>
    <row r="25">
      <c r="A25" t="inlineStr">
        <is>
          <t>Min therapists viable</t>
        </is>
      </c>
      <c r="B25" s="69">
        <f>ROUNDUP(B14,1)</f>
        <v/>
      </c>
    </row>
    <row r="27">
      <c r="A27" t="inlineStr">
        <is>
          <t>Communications/month</t>
        </is>
      </c>
      <c r="B27" s="51">
        <f>INPUTS!B51</f>
        <v/>
      </c>
    </row>
    <row r="28">
      <c r="A28" t="inlineStr">
        <is>
          <t>SMS volume/month</t>
        </is>
      </c>
      <c r="B28" s="49">
        <f>INPUTS!B49</f>
        <v/>
      </c>
    </row>
    <row r="29">
      <c r="A29" t="inlineStr">
        <is>
          <t>SMS cost/month</t>
        </is>
      </c>
      <c r="B29" s="51">
        <f>INPUTS!B50</f>
        <v/>
      </c>
    </row>
    <row r="31">
      <c r="A31" t="inlineStr">
        <is>
          <t>Tablet note-taking/month</t>
        </is>
      </c>
      <c r="B31" s="51">
        <f>INPUTS!B70</f>
        <v/>
      </c>
    </row>
    <row r="32">
      <c r="A32" t="inlineStr">
        <is>
          <t>Tablets required</t>
        </is>
      </c>
      <c r="B32" s="49">
        <f>INPUTS!B58</f>
        <v/>
      </c>
    </row>
    <row r="33">
      <c r="A33" t="inlineStr">
        <is>
          <t>Tablet hardware/month</t>
        </is>
      </c>
      <c r="B33" s="51">
        <f>INPUTS!B66</f>
        <v/>
      </c>
    </row>
    <row r="35">
      <c r="A35" t="inlineStr">
        <is>
          <t>Patient app/month</t>
        </is>
      </c>
      <c r="B35" s="51">
        <f>INPUTS!B85</f>
        <v/>
      </c>
    </row>
    <row r="36">
      <c r="A36" t="inlineStr">
        <is>
          <t>Patient app enabled?</t>
        </is>
      </c>
      <c r="B36">
        <f>INPUTS!B77</f>
        <v/>
      </c>
    </row>
    <row r="37">
      <c r="A37" t="inlineStr">
        <is>
          <t>Patient app phase</t>
        </is>
      </c>
      <c r="B37" s="49">
        <f>INPUTS!B78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conditionalFormatting sqref="B12">
    <cfRule type="expression" priority="1" dxfId="0" stopIfTrue="1">
      <formula>B12&lt;0</formula>
    </cfRule>
  </conditionalFormatting>
  <conditionalFormatting sqref="B13">
    <cfRule type="expression" priority="2" dxfId="0" stopIfTrue="1">
      <formula>$B$12&lt;INPUTS!$B$6</formula>
    </cfRule>
  </conditionalFormatting>
  <conditionalFormatting sqref="B8">
    <cfRule type="expression" priority="3" dxfId="0" stopIfTrue="1">
      <formula>B8&lt;0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Metric [DRAFT_OP_V5]</t>
        </is>
      </c>
      <c r="B1" t="n">
        <v>1</v>
      </c>
      <c r="C1" t="n">
        <v>2</v>
      </c>
      <c r="D1" t="n">
        <v>3</v>
      </c>
      <c r="E1" t="n">
        <v>5</v>
      </c>
      <c r="F1" t="n">
        <v>8</v>
      </c>
    </row>
    <row r="2">
      <c r="A2" t="inlineStr">
        <is>
          <t>Clinic margin (scaled) [DRAFT_OP_V5]</t>
        </is>
      </c>
      <c r="B2" s="18">
        <f>IF(COUNTA(ROSTER!$A$2:$A$21)=0,0,MODEL!$B$5*(B$1/MAX(COUNTA(ROSTER!$A$2:$A$21),1)))</f>
        <v/>
      </c>
      <c r="C2" s="18">
        <f>IF(COUNTA(ROSTER!$A$2:$A$21)=0,0,MODEL!$B$5*(C$1/MAX(COUNTA(ROSTER!$A$2:$A$21),1)))</f>
        <v/>
      </c>
      <c r="D2" s="18">
        <f>IF(COUNTA(ROSTER!$A$2:$A$21)=0,0,MODEL!$B$5*(D$1/MAX(COUNTA(ROSTER!$A$2:$A$21),1)))</f>
        <v/>
      </c>
      <c r="E2" s="18">
        <f>IF(COUNTA(ROSTER!$A$2:$A$21)=0,0,MODEL!$B$5*(E$1/MAX(COUNTA(ROSTER!$A$2:$A$21),1)))</f>
        <v/>
      </c>
      <c r="F2" s="18">
        <f>IF(COUNTA(ROSTER!$A$2:$A$21)=0,0,MODEL!$B$5*(F$1/MAX(COUNTA(ROSTER!$A$2:$A$21),1)))</f>
        <v/>
      </c>
    </row>
    <row r="3">
      <c r="A3" t="inlineStr">
        <is>
          <t>Operating costs (scaled) [DRAFT_OP_V5]</t>
        </is>
      </c>
      <c r="B3" s="18">
        <f>IF(COUNTA(ROSTER!$A$2:$A$21)=0,0,MODEL!$B$6*(B$1/MAX(COUNTA(ROSTER!$A$2:$A$21),1)))</f>
        <v/>
      </c>
      <c r="C3" s="18">
        <f>IF(COUNTA(ROSTER!$A$2:$A$21)=0,0,MODEL!$B$6*(C$1/MAX(COUNTA(ROSTER!$A$2:$A$21),1)))</f>
        <v/>
      </c>
      <c r="D3" s="18">
        <f>IF(COUNTA(ROSTER!$A$2:$A$21)=0,0,MODEL!$B$6*(D$1/MAX(COUNTA(ROSTER!$A$2:$A$21),1)))</f>
        <v/>
      </c>
      <c r="E3" s="18">
        <f>IF(COUNTA(ROSTER!$A$2:$A$21)=0,0,MODEL!$B$6*(E$1/MAX(COUNTA(ROSTER!$A$2:$A$21),1)))</f>
        <v/>
      </c>
      <c r="F3" s="18">
        <f>IF(COUNTA(ROSTER!$A$2:$A$21)=0,0,MODEL!$B$6*(F$1/MAX(COUNTA(ROSTER!$A$2:$A$21),1)))</f>
        <v/>
      </c>
    </row>
    <row r="4">
      <c r="A4" t="inlineStr">
        <is>
          <t>Pre-tax after draw [DRAFT_OP_V5]</t>
        </is>
      </c>
      <c r="B4" s="18">
        <f>B2-B3-INPUTS!$B$6</f>
        <v/>
      </c>
      <c r="C4" s="18">
        <f>C2-C3-INPUTS!$B$6</f>
        <v/>
      </c>
      <c r="D4" s="18">
        <f>D2-D3-INPUTS!$B$6</f>
        <v/>
      </c>
      <c r="E4" s="18">
        <f>E2-E3-INPUTS!$B$6</f>
        <v/>
      </c>
      <c r="F4" s="18">
        <f>F2-F3-INPUTS!$B$6</f>
        <v/>
      </c>
    </row>
    <row r="5">
      <c r="A5" t="inlineStr">
        <is>
          <t>Net (tax approx) [DRAFT_OP_V5]</t>
        </is>
      </c>
      <c r="B5" s="18">
        <f>IF(B4&gt;0,B4*(1-INPUTS!$B$19),B4)</f>
        <v/>
      </c>
      <c r="C5" s="18">
        <f>IF(C4&gt;0,C4*(1-INPUTS!$B$19),C4)</f>
        <v/>
      </c>
      <c r="D5" s="18">
        <f>IF(D4&gt;0,D4*(1-INPUTS!$B$19),D4)</f>
        <v/>
      </c>
      <c r="E5" s="18">
        <f>IF(E4&gt;0,E4*(1-INPUTS!$B$19),E4)</f>
        <v/>
      </c>
      <c r="F5" s="18">
        <f>IF(F4&gt;0,F4*(1-INPUTS!$B$19),F4)</f>
        <v/>
      </c>
    </row>
    <row r="6">
      <c r="A6" t="inlineStr">
        <is>
          <t>Dividend pool (approx) [DRAFT_OP_V5]</t>
        </is>
      </c>
      <c r="B6" s="18">
        <f>B5*INPUTS!$B$23</f>
        <v/>
      </c>
      <c r="C6" s="18">
        <f>C5*INPUTS!$B$23</f>
        <v/>
      </c>
      <c r="D6" s="18">
        <f>D5*INPUTS!$B$23</f>
        <v/>
      </c>
      <c r="E6" s="18">
        <f>E5*INPUTS!$B$23</f>
        <v/>
      </c>
      <c r="F6" s="18">
        <f>F5*INPUTS!$B$23</f>
        <v/>
      </c>
    </row>
    <row r="8">
      <c r="A8" s="43" t="inlineStr">
        <is>
          <t>SOFTWARE PHASE SENSITIVITY</t>
        </is>
      </c>
    </row>
    <row r="9">
      <c r="A9" s="1" t="inlineStr">
        <is>
          <t>Metric</t>
        </is>
      </c>
      <c r="B9" s="52" t="inlineStr">
        <is>
          <t>Phase 1</t>
        </is>
      </c>
      <c r="C9" s="52" t="inlineStr">
        <is>
          <t>Phase 2</t>
        </is>
      </c>
      <c r="D9" s="52" t="inlineStr">
        <is>
          <t>Phase 3</t>
        </is>
      </c>
    </row>
    <row r="10">
      <c r="A10" t="inlineStr">
        <is>
          <t>Jane Plan</t>
        </is>
      </c>
      <c r="B10" s="18" t="inlineStr">
        <is>
          <t>Balance</t>
        </is>
      </c>
      <c r="C10" s="18" t="inlineStr">
        <is>
          <t>Practice</t>
        </is>
      </c>
      <c r="D10" s="18" t="inlineStr">
        <is>
          <t>Thrive</t>
        </is>
      </c>
    </row>
    <row r="11">
      <c r="A11" t="inlineStr">
        <is>
          <t>Software/month</t>
        </is>
      </c>
      <c r="B11" s="51" t="n">
        <v>54</v>
      </c>
      <c r="C11" s="51" t="n">
        <v>79</v>
      </c>
      <c r="D11" s="51" t="n">
        <v>99</v>
      </c>
    </row>
    <row r="12">
      <c r="A12" t="inlineStr">
        <is>
          <t>Monthly Revenue</t>
        </is>
      </c>
      <c r="B12" s="51">
        <f>MODEL!B4</f>
        <v/>
      </c>
      <c r="C12" s="51">
        <f>MODEL!B4</f>
        <v/>
      </c>
      <c r="D12" s="51">
        <f>MODEL!B4</f>
        <v/>
      </c>
    </row>
    <row r="13">
      <c r="A13" t="inlineStr">
        <is>
          <t>Fixed Costs</t>
        </is>
      </c>
      <c r="B13" s="51">
        <f>MODEL!B8-INPUTS!B13+B11</f>
        <v/>
      </c>
      <c r="C13" s="51">
        <f>MODEL!B8-INPUTS!B13+C11</f>
        <v/>
      </c>
      <c r="D13" s="51">
        <f>MODEL!B8-INPUTS!B13+D11</f>
        <v/>
      </c>
    </row>
    <row r="14">
      <c r="A14" t="inlineStr">
        <is>
          <t>Profit Before Tax</t>
        </is>
      </c>
      <c r="B14" s="51">
        <f>B12-B13</f>
        <v/>
      </c>
      <c r="C14" s="51">
        <f>C12-C13</f>
        <v/>
      </c>
      <c r="D14" s="51">
        <f>D12-D13</f>
        <v/>
      </c>
    </row>
    <row r="15">
      <c r="A15" t="inlineStr">
        <is>
          <t>Net Profit</t>
        </is>
      </c>
      <c r="B15" s="51">
        <f>IF(B14&gt;0,B14*(1-INPUTS!B19),B14)</f>
        <v/>
      </c>
      <c r="C15" s="51">
        <f>IF(C14&gt;0,C14*(1-INPUTS!B19),C14)</f>
        <v/>
      </c>
      <c r="D15" s="51">
        <f>IF(D14&gt;0,D14*(1-INPUTS!B19),D14)</f>
        <v/>
      </c>
    </row>
    <row r="18">
      <c r="A18" s="70" t="inlineStr">
        <is>
          <t>RAMP (FIRST 6 MONTHS)</t>
        </is>
      </c>
    </row>
    <row r="19">
      <c r="A19" t="inlineStr">
        <is>
          <t>Month</t>
        </is>
      </c>
      <c r="B19" t="n">
        <v>1</v>
      </c>
      <c r="C19" t="n">
        <v>3</v>
      </c>
      <c r="D19" t="n">
        <v>6</v>
      </c>
    </row>
    <row r="20">
      <c r="A20" t="inlineStr">
        <is>
          <t>Therapists active</t>
        </is>
      </c>
      <c r="B20" t="n">
        <v>1</v>
      </c>
      <c r="C20" t="n">
        <v>2</v>
      </c>
      <c r="D20" t="n">
        <v>3</v>
      </c>
    </row>
    <row r="21">
      <c r="A21" t="inlineStr">
        <is>
          <t>Utilization</t>
        </is>
      </c>
      <c r="B21" t="n">
        <v>0.55</v>
      </c>
      <c r="C21" t="n">
        <v>0.7</v>
      </c>
      <c r="D21" t="n">
        <v>0.82</v>
      </c>
    </row>
    <row r="22">
      <c r="A22" t="inlineStr">
        <is>
          <t>Monthly Revenue</t>
        </is>
      </c>
      <c r="B22" s="51">
        <f>B20*INPUTS!B3*B21*INPUTS!B4*INPUTS!B5*4.33</f>
        <v/>
      </c>
      <c r="C22" s="51">
        <f>C20*INPUTS!B3*C21*INPUTS!B4*INPUTS!B5*4.33</f>
        <v/>
      </c>
      <c r="D22" s="51">
        <f>D20*INPUTS!B3*D21*INPUTS!B4*INPUTS!B5*4.33</f>
        <v/>
      </c>
    </row>
    <row r="23">
      <c r="A23" t="inlineStr">
        <is>
          <t>Fixed Costs</t>
        </is>
      </c>
      <c r="B23" s="51">
        <f>MODEL!B8</f>
        <v/>
      </c>
      <c r="C23" s="51">
        <f>MODEL!B8</f>
        <v/>
      </c>
      <c r="D23" s="51">
        <f>MODEL!B8</f>
        <v/>
      </c>
    </row>
    <row r="24">
      <c r="A24" t="inlineStr">
        <is>
          <t>Net Profit</t>
        </is>
      </c>
      <c r="B24" s="51">
        <f>(B22-B23)*(1-INPUTS!B19)</f>
        <v/>
      </c>
      <c r="C24" s="51">
        <f>(C22-C23)*(1-INPUTS!B19)</f>
        <v/>
      </c>
      <c r="D24" s="51">
        <f>(D22-D23)*(1-INPUTS!B19)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mergeCells count="2">
    <mergeCell ref="A8:F8"/>
    <mergeCell ref="A18:D18"/>
  </mergeCells>
  <conditionalFormatting sqref="B4:F6">
    <cfRule type="expression" priority="1" dxfId="0" stopIfTrue="1">
      <formula>B4&lt;0</formula>
    </cfRule>
  </conditionalFormatting>
  <conditionalFormatting sqref="B15:D15">
    <cfRule type="cellIs" priority="2" operator="greaterThan" dxfId="1">
      <formula>0</formula>
    </cfRule>
    <cfRule type="cellIs" priority="3" operator="lessThan" dxfId="2">
      <formula>0</formula>
    </cfRule>
  </conditionalFormatting>
  <conditionalFormatting sqref="B24:D24">
    <cfRule type="cellIs" priority="4" operator="greaterThan" dxfId="1">
      <formula>0</formula>
    </cfRule>
    <cfRule type="cellIs" priority="5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Scenario B — light [DRAFT_OP_V5]</t>
        </is>
      </c>
    </row>
    <row r="2">
      <c r="A2" t="inlineStr">
        <is>
          <t>Session price — low [DRAFT_OP_V5]</t>
        </is>
      </c>
      <c r="B2" s="6" t="n">
        <v>120</v>
      </c>
    </row>
    <row r="3">
      <c r="A3" t="inlineStr">
        <is>
          <t>Session price — high [DRAFT_OP_V5]</t>
        </is>
      </c>
      <c r="B3" s="6" t="n">
        <v>150</v>
      </c>
    </row>
    <row r="4">
      <c r="A4" t="inlineStr">
        <is>
          <t>Midpoint [DRAFT_OP_V5]</t>
        </is>
      </c>
      <c r="B4" s="11">
        <f>(B2+B3)/2</f>
        <v/>
      </c>
    </row>
    <row r="5">
      <c r="A5" t="inlineStr">
        <is>
          <t>Clinic % [DRAFT_OP_V5]</t>
        </is>
      </c>
      <c r="B5">
        <f>INPUTS!$B$2</f>
        <v/>
      </c>
    </row>
    <row r="6">
      <c r="A6" t="inlineStr">
        <is>
          <t>Revenue / session [DRAFT_OP_V5]</t>
        </is>
      </c>
      <c r="B6" s="11">
        <f>B4*B5</f>
        <v/>
      </c>
    </row>
    <row r="7">
      <c r="A7" t="inlineStr">
        <is>
          <t>Monthly session-equiv (roster hours × 4) [DRAFT_OP_V5]</t>
        </is>
      </c>
      <c r="B7" s="18">
        <f>SUM(ROSTER!$C$2:$C$21)*4</f>
        <v/>
      </c>
    </row>
    <row r="8">
      <c r="A8" t="inlineStr">
        <is>
          <t>Monthly revenue [DRAFT_OP_V5]</t>
        </is>
      </c>
      <c r="B8" s="11">
        <f>B7*B6</f>
        <v/>
      </c>
    </row>
    <row r="9">
      <c r="A9" t="inlineStr">
        <is>
          <t>Opex Path B [DRAFT_OP_V5]</t>
        </is>
      </c>
      <c r="B9" s="18">
        <f>OPERATING_COSTS!$B$15</f>
        <v/>
      </c>
    </row>
    <row r="10">
      <c r="A10" t="inlineStr">
        <is>
          <t>Supervision (excl.) [DRAFT_OP_V5]</t>
        </is>
      </c>
      <c r="B10" s="18" t="n">
        <v>0</v>
      </c>
    </row>
    <row r="11">
      <c r="A11" t="inlineStr">
        <is>
          <t>Admin flat [DRAFT_OP_V5]</t>
        </is>
      </c>
      <c r="B11" s="18">
        <f>IF(COUNTA(ROSTER!$A$2:$A$21)&gt;=INPUTS!$B$12,INPUTS!$B$15,0)</f>
        <v/>
      </c>
    </row>
    <row r="12">
      <c r="A12" t="inlineStr">
        <is>
          <t>Total costs [DRAFT_OP_V5]</t>
        </is>
      </c>
      <c r="B12" s="18">
        <f>B9+B10+B11</f>
        <v/>
      </c>
    </row>
    <row r="14">
      <c r="A14" t="inlineStr">
        <is>
          <t>PBT [DRAFT_OP_V5]</t>
        </is>
      </c>
      <c r="B14" s="18">
        <f>B8-B12</f>
        <v/>
      </c>
    </row>
    <row r="15">
      <c r="A15" t="inlineStr">
        <is>
          <t>Tax [DRAFT_OP_V5]</t>
        </is>
      </c>
      <c r="B15" s="18">
        <f>IF(B14&gt;0,B14*INPUTS!$B$19,0)</f>
        <v/>
      </c>
    </row>
    <row r="16">
      <c r="A16" t="inlineStr">
        <is>
          <t>Net [DRAFT_OP_V5]</t>
        </is>
      </c>
      <c r="B16" s="11">
        <f>B14-B15</f>
        <v/>
      </c>
    </row>
    <row r="18">
      <c r="A18" t="inlineStr">
        <is>
          <t>ROI vs initial [DRAFT_OP_V5]</t>
        </is>
      </c>
      <c r="B18" s="17">
        <f>IF(INPUTS!$B$42&lt;=0,"—",(B16*12)/INPUTS!$B$42)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Partner_L — fixed draw vs modeled economics [DRAFT_OP_V5]</t>
        </is>
      </c>
    </row>
    <row r="3">
      <c r="A3" t="inlineStr">
        <is>
          <t>Partner_L_Draw (target) [DRAFT_OP_V5]</t>
        </is>
      </c>
      <c r="B3" s="11">
        <f>INPUTS!$B$6</f>
        <v/>
      </c>
    </row>
    <row r="4">
      <c r="A4" t="inlineStr">
        <is>
          <t>Net profit (MODEL) [DRAFT_OP_V5]</t>
        </is>
      </c>
      <c r="B4" s="11">
        <f>MODEL!$B$12</f>
        <v/>
      </c>
    </row>
    <row r="5">
      <c r="A5" t="inlineStr">
        <is>
          <t>Partner_L dividend (PARTNERSHIP_STRUCTURE) [DRAFT_OP_V5]</t>
        </is>
      </c>
      <c r="B5" s="11">
        <f>MODEL!$B$20</f>
        <v/>
      </c>
    </row>
    <row r="6">
      <c r="A6" t="inlineStr">
        <is>
          <t>Gap (draw − dividend) [DRAFT_OP_V5]</t>
        </is>
      </c>
      <c r="B6" s="11">
        <f>MAX(0,B3-B5)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Y102"/>
  <sheetViews>
    <sheetView showGridLines="0" workbookViewId="0">
      <selection activeCell="A1" sqref="A1"/>
    </sheetView>
  </sheetViews>
  <sheetFormatPr baseColWidth="8" defaultRowHeight="15"/>
  <cols>
    <col width="24" customWidth="1" min="13" max="13"/>
    <col width="14" customWidth="1" min="14" max="14"/>
  </cols>
  <sheetData>
    <row r="2">
      <c r="A2" s="19" t="inlineStr">
        <is>
          <t>Total clinic margin [DRAFT_OP_V5]</t>
        </is>
      </c>
      <c r="B2" s="20">
        <f>MODEL!B5</f>
        <v/>
      </c>
    </row>
    <row r="3">
      <c r="A3" s="19" t="inlineStr">
        <is>
          <t>Net profit (final) [DRAFT_OP_V5]</t>
        </is>
      </c>
      <c r="B3" s="20">
        <f>MODEL!B12</f>
        <v/>
      </c>
    </row>
    <row r="4">
      <c r="A4" s="19" t="inlineStr">
        <is>
          <t>Break-even gross (roster ref.) [DRAFT_OP_V5]</t>
        </is>
      </c>
      <c r="B4" s="20">
        <f>MODEL!B17</f>
        <v/>
      </c>
    </row>
    <row r="5">
      <c r="A5" s="73" t="inlineStr">
        <is>
          <t>🧠 Jane Plan</t>
        </is>
      </c>
      <c r="B5" s="74">
        <f>MODEL!B18</f>
        <v/>
      </c>
    </row>
    <row r="6">
      <c r="A6" s="73" t="inlineStr">
        <is>
          <t>💻 Software/month</t>
        </is>
      </c>
      <c r="B6" s="75">
        <f>MODEL!B19</f>
        <v/>
      </c>
    </row>
    <row r="7">
      <c r="A7" s="73" t="inlineStr">
        <is>
          <t>✉️ Communications/month</t>
        </is>
      </c>
      <c r="B7" s="75">
        <f>MODEL!B27</f>
        <v/>
      </c>
    </row>
    <row r="8">
      <c r="A8" s="73" t="inlineStr">
        <is>
          <t>📲 SMS volume/month</t>
        </is>
      </c>
      <c r="B8" s="76">
        <f>MODEL!B28</f>
        <v/>
      </c>
    </row>
    <row r="9">
      <c r="A9" s="73" t="inlineStr">
        <is>
          <t>📝 Tablet notes/month</t>
        </is>
      </c>
      <c r="B9" s="75">
        <f>MODEL!B31</f>
        <v/>
      </c>
    </row>
    <row r="10">
      <c r="A10" s="73" t="inlineStr">
        <is>
          <t>📱 Tablets required</t>
        </is>
      </c>
      <c r="B10" s="76">
        <f>MODEL!B32</f>
        <v/>
      </c>
    </row>
    <row r="11">
      <c r="A11" s="73" t="inlineStr">
        <is>
          <t>📔 Patient app/month</t>
        </is>
      </c>
      <c r="B11" s="75">
        <f>MODEL!B35</f>
        <v/>
      </c>
    </row>
    <row r="12">
      <c r="A12" s="73" t="inlineStr">
        <is>
          <t>📱 Patient app phase</t>
        </is>
      </c>
      <c r="B12" s="76">
        <f>MODEL!B37</f>
        <v/>
      </c>
    </row>
    <row r="13">
      <c r="A13" s="19" t="inlineStr">
        <is>
          <t>Redemption alert [DRAFT_OP_V5]</t>
        </is>
      </c>
      <c r="B13" s="21">
        <f>MODEL!B13</f>
        <v/>
      </c>
    </row>
    <row r="17">
      <c r="A17" s="73" t="inlineStr">
        <is>
          <t>🛡️ Governance/month</t>
        </is>
      </c>
      <c r="B17" s="82">
        <f>INPUTS!B96</f>
        <v/>
      </c>
    </row>
    <row r="18">
      <c r="A18" s="73" t="inlineStr">
        <is>
          <t>🌎 Jurisdiction mode</t>
        </is>
      </c>
      <c r="B18" s="83">
        <f>INPUTS!B91</f>
        <v/>
      </c>
    </row>
    <row r="19">
      <c r="A19" s="73" t="inlineStr">
        <is>
          <t>📣 Advertising/month</t>
        </is>
      </c>
      <c r="B19" s="82">
        <f>IF(INPUTS!B91="Quebec",COST_ASSUMPTIONS!B16+COST_ASSUMPTIONS!B17+COST_ASSUMPTIONS!B18,IF(INPUTS!B91="Alberta Clinic",COST_ASSUMPTIONS!C16+COST_ASSUMPTIONS!C17+COST_ASSUMPTIONS!C18,COST_ASSUMPTIONS!D16+COST_ASSUMPTIONS!D17+COST_ASSUMPTIONS!D18))</f>
        <v/>
      </c>
    </row>
    <row r="20">
      <c r="A20" s="73" t="inlineStr">
        <is>
          <t>☁️ Hosting + DNS/month</t>
        </is>
      </c>
      <c r="B20" s="82">
        <f>IF(INPUTS!B91="Quebec",COST_ASSUMPTIONS!B10+COST_ASSUMPTIONS!B11+COST_ASSUMPTIONS!B12,IF(INPUTS!B91="Alberta Clinic",COST_ASSUMPTIONS!C10+COST_ASSUMPTIONS!C11+COST_ASSUMPTIONS!C12,COST_ASSUMPTIONS!D10+COST_ASSUMPTIONS!D11+COST_ASSUMPTIONS!D12))</f>
        <v/>
      </c>
    </row>
    <row r="24" ht="28" customHeight="1">
      <c r="A24" s="23" t="inlineStr">
        <is>
          <t>Clinical Operations System — Master Dossier (Print View) [DRAFT_OP_V5]</t>
        </is>
      </c>
    </row>
    <row r="25">
      <c r="A25" s="24" t="inlineStr">
        <is>
          <t>Total clinic margin (CAD/mo)</t>
        </is>
      </c>
      <c r="B25" s="25">
        <f>MODEL!B5</f>
        <v/>
      </c>
    </row>
    <row r="26">
      <c r="A26" s="24" t="inlineStr">
        <is>
          <t>Net profit — final (CAD/mo)</t>
        </is>
      </c>
      <c r="B26" s="25">
        <f>MODEL!B12</f>
        <v/>
      </c>
    </row>
    <row r="27">
      <c r="A27" s="24" t="inlineStr">
        <is>
          <t>Partner_L_Draw (CAD/mo)</t>
        </is>
      </c>
      <c r="B27" s="25">
        <f>INPUTS!B6</f>
        <v/>
      </c>
    </row>
    <row r="28">
      <c r="A28" s="24" t="inlineStr">
        <is>
          <t>Redemption flag (MODEL)</t>
        </is>
      </c>
      <c r="B28" s="26">
        <f>MODEL!B13</f>
        <v/>
      </c>
    </row>
    <row r="29">
      <c r="A29" s="24" t="inlineStr">
        <is>
          <t>Initial capital — line-item audit (INPUTS)</t>
        </is>
      </c>
      <c r="B29" s="25">
        <f>INPUTS!B25</f>
        <v/>
      </c>
    </row>
    <row r="37">
      <c r="M37" s="27" t="inlineStr">
        <is>
          <t>Input_Variables</t>
        </is>
      </c>
    </row>
    <row r="38">
      <c r="M38" s="28" t="inlineStr">
        <is>
          <t>ADJUSTMENT_RESERVE</t>
        </is>
      </c>
      <c r="N38" s="56" t="n">
        <v>0</v>
      </c>
    </row>
    <row r="100">
      <c r="X100" t="inlineStr">
        <is>
          <t>Quebec</t>
        </is>
      </c>
      <c r="Y100" s="51">
        <f>COST_ASSUMPTIONS!B16+COST_ASSUMPTIONS!B17+COST_ASSUMPTIONS!B18</f>
        <v/>
      </c>
    </row>
    <row r="101">
      <c r="X101" t="inlineStr">
        <is>
          <t>Alberta Clinic</t>
        </is>
      </c>
      <c r="Y101" s="51">
        <f>COST_ASSUMPTIONS!C16+COST_ASSUMPTIONS!C17+COST_ASSUMPTIONS!C18</f>
        <v/>
      </c>
    </row>
    <row r="102">
      <c r="X102" t="inlineStr">
        <is>
          <t>Alberta Solo</t>
        </is>
      </c>
      <c r="Y102" s="51">
        <f>COST_ASSUMPTIONS!D16+COST_ASSUMPTIONS!D17+COST_ASSUMPTIONS!D18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mergeCells count="2">
    <mergeCell ref="A24:F24"/>
    <mergeCell ref="M37:P37"/>
  </mergeCells>
  <printOptions horizontalCentered="1"/>
  <pageMargins left="0.75" right="0.75" top="1" bottom="1" header="0.5" footer="0.5"/>
  <pageSetup orientation="portrait" fitToHeight="100" fitToWidth="1"/>
  <headerFooter>
    <oddHeader/>
    <oddFooter>&amp;L&amp;9 Confidential — Proprietary — Clinical Operations System (COS) — The Architect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30" customWidth="1" min="6" max="6"/>
    <col width="18" customWidth="1" min="7" max="7"/>
    <col width="34" customWidth="1" min="9" max="9"/>
    <col width="20" customWidth="1" min="10" max="10"/>
    <col width="34" customWidth="1" min="12" max="12"/>
    <col width="20" customWidth="1" min="13" max="13"/>
    <col width="24" customWidth="1" min="15" max="15"/>
    <col width="24" customWidth="1" min="16" max="16"/>
    <col width="24" customWidth="1" min="18" max="18"/>
    <col width="24" customWidth="1" min="19" max="19"/>
    <col width="24" customWidth="1" min="20" max="20"/>
    <col width="24" customWidth="1" min="21" max="21"/>
  </cols>
  <sheetData>
    <row r="1">
      <c r="A1" s="1" t="inlineStr">
        <is>
          <t>Category [DRAFT_OP_V5]</t>
        </is>
      </c>
      <c r="B1" s="1" t="inlineStr">
        <is>
          <t>Monthly [DRAFT_OP_V5]</t>
        </is>
      </c>
      <c r="C1" s="1" t="inlineStr">
        <is>
          <t>Annual [DRAFT_OP_V5]</t>
        </is>
      </c>
      <c r="D1" s="1" t="inlineStr">
        <is>
          <t>Include? [DRAFT_OP_V5]</t>
        </is>
      </c>
      <c r="F1" s="43" t="inlineStr">
        <is>
          <t>Software Detail</t>
        </is>
      </c>
      <c r="G1" s="43" t="inlineStr">
        <is>
          <t>Monthly Cost</t>
        </is>
      </c>
      <c r="I1" s="43" t="inlineStr">
        <is>
          <t>Appointment Communications</t>
        </is>
      </c>
      <c r="J1" s="43" t="inlineStr">
        <is>
          <t>Monthly Value</t>
        </is>
      </c>
      <c r="L1" s="43" t="inlineStr">
        <is>
          <t>Therapist Tablet &amp; Notes</t>
        </is>
      </c>
      <c r="M1" s="43" t="inlineStr">
        <is>
          <t>Monthly Value</t>
        </is>
      </c>
      <c r="O1" s="43" t="inlineStr">
        <is>
          <t>Patient Mobile App</t>
        </is>
      </c>
      <c r="P1" s="43" t="inlineStr">
        <is>
          <t>Monthly Value</t>
        </is>
      </c>
      <c r="R1" s="80" t="inlineStr">
        <is>
          <t>Governance Cost Detail</t>
        </is>
      </c>
      <c r="S1" s="80" t="inlineStr">
        <is>
          <t>Quebec</t>
        </is>
      </c>
      <c r="T1" s="80" t="inlineStr">
        <is>
          <t>Alberta Clinic</t>
        </is>
      </c>
      <c r="U1" s="80" t="inlineStr">
        <is>
          <t>Alberta Solo</t>
        </is>
      </c>
    </row>
    <row r="2">
      <c r="A2" t="inlineStr">
        <is>
          <t>Director hybrid pay [DRAFT_OP_V5]</t>
        </is>
      </c>
      <c r="B2" s="18">
        <f>INPUTS!$B$7*INPUTS!$B$8+INPUTS!$B$9*INPUTS!$B$11</f>
        <v/>
      </c>
      <c r="C2" s="18">
        <f>B2*12</f>
        <v/>
      </c>
      <c r="D2" t="b">
        <v>1</v>
      </c>
      <c r="F2" t="inlineStr">
        <is>
          <t>Jane base plan</t>
        </is>
      </c>
      <c r="G2" s="51">
        <f>INPUTS!B26</f>
        <v/>
      </c>
      <c r="I2" t="inlineStr">
        <is>
          <t>Email confirmations enabled?</t>
        </is>
      </c>
      <c r="J2">
        <f>INPUTS!B41</f>
        <v/>
      </c>
      <c r="L2" t="inlineStr">
        <is>
          <t>Tablets required</t>
        </is>
      </c>
      <c r="M2" s="49">
        <f>INPUTS!B58</f>
        <v/>
      </c>
      <c r="O2" t="inlineStr">
        <is>
          <t>Enabled?</t>
        </is>
      </c>
      <c r="P2">
        <f>INPUTS!B77</f>
        <v/>
      </c>
      <c r="R2" s="72" t="inlineStr">
        <is>
          <t>Privacy/legal review</t>
        </is>
      </c>
      <c r="S2" s="84">
        <f>COST_ASSUMPTIONS!B4</f>
        <v/>
      </c>
      <c r="T2" s="84">
        <f>COST_ASSUMPTIONS!C4</f>
        <v/>
      </c>
      <c r="U2" s="84">
        <f>COST_ASSUMPTIONS!D4</f>
        <v/>
      </c>
    </row>
    <row r="3">
      <c r="A3" t="inlineStr">
        <is>
          <t>Other variable (legacy + admin + supervision) [DRAFT_OP_V5]</t>
        </is>
      </c>
      <c r="B3" s="18">
        <f>MODEL!$B$6-OPERATING_COSTS!$B$14-B2</f>
        <v/>
      </c>
      <c r="C3" s="18">
        <f>B3*12</f>
        <v/>
      </c>
      <c r="D3" t="b">
        <v>1</v>
      </c>
      <c r="F3" t="inlineStr">
        <is>
          <t>AI Scribe</t>
        </is>
      </c>
      <c r="G3" s="51">
        <f>INPUTS!B27*15</f>
        <v/>
      </c>
      <c r="I3" t="inlineStr">
        <is>
          <t>Email reminders enabled?</t>
        </is>
      </c>
      <c r="J3">
        <f>INPUTS!B42</f>
        <v/>
      </c>
      <c r="L3" t="inlineStr">
        <is>
          <t>Hardware amortization</t>
        </is>
      </c>
      <c r="M3" s="51">
        <f>INPUTS!B66</f>
        <v/>
      </c>
      <c r="O3" t="inlineStr">
        <is>
          <t>App phase</t>
        </is>
      </c>
      <c r="P3" s="49">
        <f>INPUTS!B78</f>
        <v/>
      </c>
      <c r="R3" s="72" t="inlineStr">
        <is>
          <t>Software privacy audit</t>
        </is>
      </c>
      <c r="S3" s="84">
        <f>COST_ASSUMPTIONS!B5</f>
        <v/>
      </c>
      <c r="T3" s="84">
        <f>COST_ASSUMPTIONS!C5</f>
        <v/>
      </c>
      <c r="U3" s="84">
        <f>COST_ASSUMPTIONS!D5</f>
        <v/>
      </c>
    </row>
    <row r="4">
      <c r="A4">
        <f>OPERATING_COSTS!$A$4</f>
        <v/>
      </c>
      <c r="B4" s="18">
        <f>OPERATING_COSTS!$B$4</f>
        <v/>
      </c>
      <c r="C4" s="18">
        <f>B4*12</f>
        <v/>
      </c>
      <c r="D4" t="b">
        <v>1</v>
      </c>
      <c r="F4" t="inlineStr">
        <is>
          <t>Group telehealth</t>
        </is>
      </c>
      <c r="G4" s="51">
        <f>INPUTS!B28*15</f>
        <v/>
      </c>
      <c r="I4" t="inlineStr">
        <is>
          <t>SMS reminders enabled?</t>
        </is>
      </c>
      <c r="J4">
        <f>INPUTS!B43</f>
        <v/>
      </c>
      <c r="L4" t="inlineStr">
        <is>
          <t>Secure note app</t>
        </is>
      </c>
      <c r="M4" s="51">
        <f>INPUTS!B67</f>
        <v/>
      </c>
      <c r="O4" t="inlineStr">
        <is>
          <t>Platform</t>
        </is>
      </c>
      <c r="P4" s="51">
        <f>INPUTS!B79</f>
        <v/>
      </c>
      <c r="R4" s="72" t="inlineStr">
        <is>
          <t>Security review</t>
        </is>
      </c>
      <c r="S4" s="84">
        <f>COST_ASSUMPTIONS!B6</f>
        <v/>
      </c>
      <c r="T4" s="84">
        <f>COST_ASSUMPTIONS!C6</f>
        <v/>
      </c>
      <c r="U4" s="84">
        <f>COST_ASSUMPTIONS!D6</f>
        <v/>
      </c>
    </row>
    <row r="5">
      <c r="A5" t="inlineStr">
        <is>
          <t>Software</t>
        </is>
      </c>
      <c r="B5" s="18">
        <f>INPUTS!B13</f>
        <v/>
      </c>
      <c r="C5" s="18">
        <f>B5*12</f>
        <v/>
      </c>
      <c r="D5" t="b">
        <v>1</v>
      </c>
      <c r="F5" t="inlineStr">
        <is>
          <t>Jane Website</t>
        </is>
      </c>
      <c r="G5" s="51">
        <f>IF(INPUTS!B29,59,0)</f>
        <v/>
      </c>
      <c r="I5" t="inlineStr">
        <is>
          <t>SMS volume/month</t>
        </is>
      </c>
      <c r="J5" s="49">
        <f>INPUTS!B49</f>
        <v/>
      </c>
      <c r="L5" t="inlineStr">
        <is>
          <t>AI note review</t>
        </is>
      </c>
      <c r="M5" s="51">
        <f>INPUTS!B68</f>
        <v/>
      </c>
      <c r="O5" t="inlineStr">
        <is>
          <t>Journal module</t>
        </is>
      </c>
      <c r="P5" s="51">
        <f>INPUTS!B80</f>
        <v/>
      </c>
      <c r="R5" s="72" t="inlineStr">
        <is>
          <t>Cyber insurance</t>
        </is>
      </c>
      <c r="S5" s="84">
        <f>COST_ASSUMPTIONS!B7</f>
        <v/>
      </c>
      <c r="T5" s="84">
        <f>COST_ASSUMPTIONS!C7</f>
        <v/>
      </c>
      <c r="U5" s="84">
        <f>COST_ASSUMPTIONS!D7</f>
        <v/>
      </c>
    </row>
    <row r="6">
      <c r="A6">
        <f>OPERATING_COSTS!$A$6</f>
        <v/>
      </c>
      <c r="B6" s="18">
        <f>OPERATING_COSTS!$B$6</f>
        <v/>
      </c>
      <c r="C6" s="18">
        <f>B6*12</f>
        <v/>
      </c>
      <c r="D6" t="b">
        <v>1</v>
      </c>
      <c r="F6" t="inlineStr">
        <is>
          <t>Extra compliance/admin tools</t>
        </is>
      </c>
      <c r="G6" s="51">
        <f>INPUTS!B30</f>
        <v/>
      </c>
      <c r="I6" t="inlineStr">
        <is>
          <t>SMS cost/month</t>
        </is>
      </c>
      <c r="J6" s="51">
        <f>INPUTS!B50</f>
        <v/>
      </c>
      <c r="L6" t="inlineStr">
        <is>
          <t>Device management</t>
        </is>
      </c>
      <c r="M6" s="51">
        <f>INPUTS!B69</f>
        <v/>
      </c>
      <c r="O6" t="inlineStr">
        <is>
          <t>Protocol library</t>
        </is>
      </c>
      <c r="P6" s="51">
        <f>INPUTS!B81</f>
        <v/>
      </c>
      <c r="R6" s="72" t="inlineStr">
        <is>
          <t>Professional liability allocation</t>
        </is>
      </c>
      <c r="S6" s="84">
        <f>COST_ASSUMPTIONS!B8</f>
        <v/>
      </c>
      <c r="T6" s="84">
        <f>COST_ASSUMPTIONS!C8</f>
        <v/>
      </c>
      <c r="U6" s="84">
        <f>COST_ASSUMPTIONS!D8</f>
        <v/>
      </c>
    </row>
    <row r="7">
      <c r="A7">
        <f>OPERATING_COSTS!$A$7</f>
        <v/>
      </c>
      <c r="B7" s="18">
        <f>OPERATING_COSTS!$B$7</f>
        <v/>
      </c>
      <c r="C7" s="18">
        <f>B7*12</f>
        <v/>
      </c>
      <c r="D7" t="b">
        <v>1</v>
      </c>
      <c r="F7" t="inlineStr">
        <is>
          <t>Appointment communications</t>
        </is>
      </c>
      <c r="G7" s="51">
        <f>INPUTS!B51</f>
        <v/>
      </c>
      <c r="I7" t="inlineStr">
        <is>
          <t>Plugin base/month</t>
        </is>
      </c>
      <c r="J7" s="51">
        <f>INPUTS!B44</f>
        <v/>
      </c>
      <c r="O7" t="inlineStr">
        <is>
          <t>Mood tracker</t>
        </is>
      </c>
      <c r="P7" s="51">
        <f>INPUTS!B82</f>
        <v/>
      </c>
      <c r="R7" s="72" t="inlineStr">
        <is>
          <t>Business policy</t>
        </is>
      </c>
      <c r="S7" s="84">
        <f>COST_ASSUMPTIONS!B9</f>
        <v/>
      </c>
      <c r="T7" s="84">
        <f>COST_ASSUMPTIONS!C9</f>
        <v/>
      </c>
      <c r="U7" s="84">
        <f>COST_ASSUMPTIONS!D9</f>
        <v/>
      </c>
    </row>
    <row r="8">
      <c r="A8">
        <f>OPERATING_COSTS!$A$8</f>
        <v/>
      </c>
      <c r="B8" s="18">
        <f>OPERATING_COSTS!$B$8</f>
        <v/>
      </c>
      <c r="C8" s="18">
        <f>B8*12</f>
        <v/>
      </c>
      <c r="D8" t="b">
        <v>1</v>
      </c>
      <c r="F8" t="inlineStr">
        <is>
          <t>Therapist tablet note-taking</t>
        </is>
      </c>
      <c r="G8" s="57">
        <f>INPUTS!B70</f>
        <v/>
      </c>
      <c r="I8" t="inlineStr">
        <is>
          <t>Total communications/month</t>
        </is>
      </c>
      <c r="J8" s="51">
        <f>INPUTS!B51</f>
        <v/>
      </c>
      <c r="L8" t="inlineStr">
        <is>
          <t>Total tablet note-taking/month</t>
        </is>
      </c>
      <c r="M8" s="57">
        <f>INPUTS!B70</f>
        <v/>
      </c>
      <c r="O8" t="inlineStr">
        <is>
          <t>Secure messaging</t>
        </is>
      </c>
      <c r="P8" s="51">
        <f>INPUTS!B83</f>
        <v/>
      </c>
      <c r="R8" s="72" t="inlineStr">
        <is>
          <t>Hosting/cloud</t>
        </is>
      </c>
      <c r="S8" s="84">
        <f>COST_ASSUMPTIONS!B10</f>
        <v/>
      </c>
      <c r="T8" s="84">
        <f>COST_ASSUMPTIONS!C10</f>
        <v/>
      </c>
      <c r="U8" s="84">
        <f>COST_ASSUMPTIONS!D10</f>
        <v/>
      </c>
    </row>
    <row r="9">
      <c r="A9">
        <f>OPERATING_COSTS!$A$9</f>
        <v/>
      </c>
      <c r="B9" s="18">
        <f>OPERATING_COSTS!$B$9</f>
        <v/>
      </c>
      <c r="C9" s="18">
        <f>B9*12</f>
        <v/>
      </c>
      <c r="D9" t="b">
        <v>1</v>
      </c>
      <c r="F9" t="inlineStr">
        <is>
          <t>Patient mobile companion app</t>
        </is>
      </c>
      <c r="G9" s="57">
        <f>INPUTS!B85</f>
        <v/>
      </c>
      <c r="O9" t="inlineStr">
        <is>
          <t>Maintenance/admin</t>
        </is>
      </c>
      <c r="P9" s="51">
        <f>INPUTS!B84</f>
        <v/>
      </c>
      <c r="R9" s="72" t="inlineStr">
        <is>
          <t>Backup/DR</t>
        </is>
      </c>
      <c r="S9" s="84">
        <f>COST_ASSUMPTIONS!B11</f>
        <v/>
      </c>
      <c r="T9" s="84">
        <f>COST_ASSUMPTIONS!C11</f>
        <v/>
      </c>
      <c r="U9" s="84">
        <f>COST_ASSUMPTIONS!D11</f>
        <v/>
      </c>
    </row>
    <row r="10">
      <c r="A10">
        <f>OPERATING_COSTS!$A$10</f>
        <v/>
      </c>
      <c r="B10" s="18">
        <f>SUMIF(D2:D12,TRUE,B2:B12)</f>
        <v/>
      </c>
      <c r="C10" s="18">
        <f>SUMIF(D2:D12,TRUE,C2:C12)</f>
        <v/>
      </c>
      <c r="D10" t="b">
        <v>1</v>
      </c>
      <c r="G10" s="51" t="n"/>
      <c r="P10" s="51" t="n"/>
      <c r="R10" s="72" t="inlineStr">
        <is>
          <t>Domain/DNS/registry</t>
        </is>
      </c>
      <c r="S10" s="84">
        <f>COST_ASSUMPTIONS!B12</f>
        <v/>
      </c>
      <c r="T10" s="84">
        <f>COST_ASSUMPTIONS!C12</f>
        <v/>
      </c>
      <c r="U10" s="84">
        <f>COST_ASSUMPTIONS!D12</f>
        <v/>
      </c>
    </row>
    <row r="11">
      <c r="A11">
        <f>OPERATING_COSTS!$A$11</f>
        <v/>
      </c>
      <c r="B11" s="18">
        <f>OPERATING_COSTS!$B$11</f>
        <v/>
      </c>
      <c r="C11" s="18">
        <f>B11*12</f>
        <v/>
      </c>
      <c r="D11" t="b">
        <v>1</v>
      </c>
      <c r="F11" t="inlineStr">
        <is>
          <t>Total software</t>
        </is>
      </c>
      <c r="G11" s="57">
        <f>SUM(G2:G9)</f>
        <v/>
      </c>
      <c r="O11" t="inlineStr">
        <is>
          <t>Total patient app/month</t>
        </is>
      </c>
      <c r="P11" s="57">
        <f>INPUTS!B85</f>
        <v/>
      </c>
      <c r="R11" s="72" t="inlineStr">
        <is>
          <t>Email/productivity</t>
        </is>
      </c>
      <c r="S11" s="84">
        <f>COST_ASSUMPTIONS!B13</f>
        <v/>
      </c>
      <c r="T11" s="84">
        <f>COST_ASSUMPTIONS!C13</f>
        <v/>
      </c>
      <c r="U11" s="84">
        <f>COST_ASSUMPTIONS!D13</f>
        <v/>
      </c>
    </row>
    <row r="12">
      <c r="A12" t="inlineStr">
        <is>
          <t>Governance/compliance</t>
        </is>
      </c>
      <c r="B12" s="18">
        <f>INPUTS!B21</f>
        <v/>
      </c>
      <c r="C12" s="18">
        <f>B12*12</f>
        <v/>
      </c>
      <c r="D12" t="b">
        <v>1</v>
      </c>
      <c r="R12" s="72" t="inlineStr">
        <is>
          <t>Consent/policy templates</t>
        </is>
      </c>
      <c r="S12" s="84">
        <f>COST_ASSUMPTIONS!B14</f>
        <v/>
      </c>
      <c r="T12" s="84">
        <f>COST_ASSUMPTIONS!C14</f>
        <v/>
      </c>
      <c r="U12" s="84">
        <f>COST_ASSUMPTIONS!D14</f>
        <v/>
      </c>
    </row>
    <row r="13">
      <c r="A13" t="inlineStr">
        <is>
          <t>Law 25 privacy [PENDING_DATA] [DRAFT_OP_V5]</t>
        </is>
      </c>
      <c r="B13" s="58" t="n">
        <v>0</v>
      </c>
      <c r="C13" s="18">
        <f>B13*12</f>
        <v/>
      </c>
      <c r="D13" t="b">
        <v>1</v>
      </c>
      <c r="R13" s="72" t="inlineStr">
        <is>
          <t>Registry verification</t>
        </is>
      </c>
      <c r="S13" s="84">
        <f>COST_ASSUMPTIONS!B15</f>
        <v/>
      </c>
      <c r="T13" s="84">
        <f>COST_ASSUMPTIONS!C15</f>
        <v/>
      </c>
      <c r="U13" s="84">
        <f>COST_ASSUMPTIONS!D15</f>
        <v/>
      </c>
    </row>
    <row r="14">
      <c r="A14" s="1" t="inlineStr">
        <is>
          <t>Total monthly [DRAFT_OP_V5]</t>
        </is>
      </c>
      <c r="B14" s="31">
        <f>SUMIF(D2:D13,TRUE,B2:B13)</f>
        <v/>
      </c>
      <c r="R14" s="72" t="inlineStr">
        <is>
          <t>Google Ads</t>
        </is>
      </c>
      <c r="S14" s="84">
        <f>COST_ASSUMPTIONS!B16</f>
        <v/>
      </c>
      <c r="T14" s="84">
        <f>COST_ASSUMPTIONS!C16</f>
        <v/>
      </c>
      <c r="U14" s="84">
        <f>COST_ASSUMPTIONS!D16</f>
        <v/>
      </c>
    </row>
    <row r="15">
      <c r="R15" s="72" t="inlineStr">
        <is>
          <t>Directory listings</t>
        </is>
      </c>
      <c r="S15" s="84">
        <f>COST_ASSUMPTIONS!B17</f>
        <v/>
      </c>
      <c r="T15" s="84">
        <f>COST_ASSUMPTIONS!C17</f>
        <v/>
      </c>
      <c r="U15" s="84">
        <f>COST_ASSUMPTIONS!D17</f>
        <v/>
      </c>
    </row>
    <row r="16">
      <c r="R16" s="72" t="inlineStr">
        <is>
          <t>SEO/content</t>
        </is>
      </c>
      <c r="S16" s="84">
        <f>COST_ASSUMPTIONS!B18</f>
        <v/>
      </c>
      <c r="T16" s="84">
        <f>COST_ASSUMPTIONS!C18</f>
        <v/>
      </c>
      <c r="U16" s="84">
        <f>COST_ASSUMPTIONS!D18</f>
        <v/>
      </c>
    </row>
    <row r="17">
      <c r="R17" s="72" t="inlineStr">
        <is>
          <t>Compliance training</t>
        </is>
      </c>
      <c r="S17" s="84">
        <f>COST_ASSUMPTIONS!B19</f>
        <v/>
      </c>
      <c r="T17" s="84">
        <f>COST_ASSUMPTIONS!C19</f>
        <v/>
      </c>
      <c r="U17" s="84">
        <f>COST_ASSUMPTIONS!D19</f>
        <v/>
      </c>
    </row>
    <row r="18">
      <c r="R18" s="72" t="n"/>
      <c r="S18" s="84" t="n"/>
      <c r="T18" s="84" t="n"/>
      <c r="U18" s="84" t="n"/>
    </row>
    <row r="19">
      <c r="R19" s="85" t="inlineStr">
        <is>
          <t>Total</t>
        </is>
      </c>
      <c r="S19" s="86">
        <f>SUM(S2:S17)</f>
        <v/>
      </c>
      <c r="T19" s="86">
        <f>SUM(T2:T17)</f>
        <v/>
      </c>
      <c r="U19" s="86">
        <f>SUM(U2:U17)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2" customHeight="1">
      <c r="A1" s="32" t="inlineStr">
        <is>
          <t>[PROJECT_ID: COS-2026-QC]</t>
        </is>
      </c>
      <c r="B1" s="59" t="n"/>
      <c r="C1" s="59" t="n"/>
      <c r="D1" s="59" t="n"/>
      <c r="E1" s="59" t="n"/>
      <c r="F1" s="60" t="n"/>
    </row>
    <row r="2" ht="18" customHeight="1">
      <c r="A2" s="61" t="n"/>
      <c r="F2" s="62" t="n"/>
    </row>
    <row r="3" ht="18" customHeight="1">
      <c r="A3" s="63" t="n"/>
      <c r="B3" s="64" t="n"/>
      <c r="C3" s="64" t="n"/>
      <c r="D3" s="64" t="n"/>
      <c r="E3" s="64" t="n"/>
      <c r="F3" s="65" t="n"/>
    </row>
    <row r="4">
      <c r="A4" s="34" t="inlineStr">
        <is>
          <t>Clinical Operations System (COS) — financial reporting extract</t>
        </is>
      </c>
      <c r="B4" s="66" t="n"/>
      <c r="C4" s="66" t="n"/>
      <c r="D4" s="66" t="n"/>
      <c r="E4" s="66" t="n"/>
      <c r="F4" s="67" t="n"/>
    </row>
    <row r="5">
      <c r="A5" s="35" t="inlineStr">
        <is>
          <t>Executive summary — CAPEX, OpEx, solvency (linked)</t>
        </is>
      </c>
      <c r="B5" s="66" t="n"/>
      <c r="C5" s="66" t="n"/>
      <c r="D5" s="66" t="n"/>
      <c r="E5" s="66" t="n"/>
      <c r="F5" s="67" t="n"/>
    </row>
    <row r="6">
      <c r="A6" s="36" t="inlineStr">
        <is>
          <t>CAPEX — Total Initial Valuation (CAPEX_SUMMARY)</t>
        </is>
      </c>
      <c r="B6" s="37">
        <f>CAPEX_SUMMARY!B3</f>
        <v/>
      </c>
      <c r="C6" s="33" t="n"/>
      <c r="D6" s="33" t="n"/>
      <c r="E6" s="33" t="n"/>
      <c r="F6" s="33" t="n"/>
    </row>
    <row r="7">
      <c r="A7" s="36" t="inlineStr">
        <is>
          <t>Monthly OpEx — operating detail (OPERATING_COSTS)</t>
        </is>
      </c>
      <c r="B7" s="37">
        <f>OPERATING_COSTS!$B$14</f>
        <v/>
      </c>
      <c r="C7" s="33" t="n"/>
      <c r="D7" s="33" t="n"/>
      <c r="E7" s="33" t="n"/>
      <c r="F7" s="33" t="n"/>
    </row>
    <row r="8">
      <c r="A8" s="36" t="inlineStr">
        <is>
          <t>Total operating load incl. hybrid pay (MODEL)</t>
        </is>
      </c>
      <c r="B8" s="37">
        <f>MODEL!B6</f>
        <v/>
      </c>
      <c r="C8" s="33" t="n"/>
      <c r="D8" s="33" t="n"/>
      <c r="E8" s="33" t="n"/>
      <c r="F8" s="33" t="n"/>
    </row>
    <row r="9">
      <c r="A9" s="36" t="inlineStr">
        <is>
          <t>Net profit — final (MODEL)</t>
        </is>
      </c>
      <c r="B9" s="37">
        <f>MODEL!B12</f>
        <v/>
      </c>
      <c r="C9" s="33" t="n"/>
      <c r="D9" s="33" t="n"/>
      <c r="E9" s="33" t="n"/>
      <c r="F9" s="33" t="n"/>
    </row>
    <row r="10">
      <c r="A10" s="36" t="inlineStr">
        <is>
          <t>Solvency validation (MODEL)</t>
        </is>
      </c>
      <c r="B10" s="36">
        <f>MODEL!B14</f>
        <v/>
      </c>
      <c r="C10" s="33" t="n"/>
      <c r="D10" s="33" t="n"/>
      <c r="E10" s="33" t="n"/>
      <c r="F10" s="33" t="n"/>
    </row>
    <row r="11">
      <c r="A11" s="36" t="inlineStr">
        <is>
          <t>Redemption alert text (MODEL)</t>
        </is>
      </c>
      <c r="B11" s="36">
        <f>MODEL!B13</f>
        <v/>
      </c>
      <c r="C11" s="33" t="n"/>
      <c r="D11" s="33" t="n"/>
      <c r="E11" s="33" t="n"/>
      <c r="F11" s="33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 password="CEA3"/>
  <mergeCells count="3">
    <mergeCell ref="A1:F3"/>
    <mergeCell ref="A5:F5"/>
    <mergeCell ref="A4:F4"/>
  </mergeCells>
  <printOptions horizontalCentered="1"/>
  <pageMargins left="0.75" right="0.75" top="1" bottom="1" header="0.5" footer="0.5"/>
  <pageSetup orientation="portrait" fitToHeight="100" fitToWidth="1"/>
  <headerFooter>
    <oddHeader/>
    <oddFooter>&amp;L&amp;9 Confidential - Proprietary - Clinical Operations System (COS) - The Architect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26" customWidth="1" min="3" max="3"/>
    <col width="38" customWidth="1" min="4" max="4"/>
    <col width="38" customWidth="1" min="5" max="5"/>
    <col width="38" customWidth="1" min="6" max="6"/>
  </cols>
  <sheetData>
    <row r="1">
      <c r="A1" s="77" t="inlineStr">
        <is>
          <t>VIRTUAL PSYCHOLOGY CLINIC — APPOINTMENT COMMUNICATIONS WORKFLOW</t>
        </is>
      </c>
    </row>
    <row r="3">
      <c r="A3" s="78" t="inlineStr">
        <is>
          <t>Trigger</t>
        </is>
      </c>
      <c r="B3" s="78" t="inlineStr">
        <is>
          <t>Channel</t>
        </is>
      </c>
      <c r="C3" s="78" t="inlineStr">
        <is>
          <t>Timing</t>
        </is>
      </c>
      <c r="D3" s="78" t="inlineStr">
        <is>
          <t>Message Purpose</t>
        </is>
      </c>
      <c r="E3" s="78" t="inlineStr">
        <is>
          <t>Owner</t>
        </is>
      </c>
      <c r="F3" s="78" t="inlineStr">
        <is>
          <t>Status</t>
        </is>
      </c>
    </row>
    <row r="4">
      <c r="A4" s="79" t="inlineStr">
        <is>
          <t>Appointment booked</t>
        </is>
      </c>
      <c r="B4" s="79" t="inlineStr">
        <is>
          <t>Email</t>
        </is>
      </c>
      <c r="C4" s="79" t="inlineStr">
        <is>
          <t>Immediately</t>
        </is>
      </c>
      <c r="D4" s="79" t="inlineStr">
        <is>
          <t>Confirm date, time, therapist, virtual session link, cancellation policy</t>
        </is>
      </c>
      <c r="E4" s="79" t="inlineStr">
        <is>
          <t>Automated</t>
        </is>
      </c>
      <c r="F4" s="79" t="inlineStr">
        <is>
          <t>Enabled</t>
        </is>
      </c>
    </row>
    <row r="5">
      <c r="A5" s="79" t="inlineStr">
        <is>
          <t>Appointment booked</t>
        </is>
      </c>
      <c r="B5" s="79" t="inlineStr">
        <is>
          <t>SMS</t>
        </is>
      </c>
      <c r="C5" s="79" t="inlineStr">
        <is>
          <t>Immediately, if SMS enabled</t>
        </is>
      </c>
      <c r="D5" s="79" t="inlineStr">
        <is>
          <t>Short confirmation with appointment date and time</t>
        </is>
      </c>
      <c r="E5" s="79" t="inlineStr">
        <is>
          <t>Automated</t>
        </is>
      </c>
      <c r="F5" s="79" t="inlineStr">
        <is>
          <t>Enabled</t>
        </is>
      </c>
    </row>
    <row r="6">
      <c r="A6" s="79" t="inlineStr">
        <is>
          <t>Pre-session reminder</t>
        </is>
      </c>
      <c r="B6" s="79" t="inlineStr">
        <is>
          <t>Email</t>
        </is>
      </c>
      <c r="C6" s="79" t="inlineStr">
        <is>
          <t>24 hours before session</t>
        </is>
      </c>
      <c r="D6" s="79" t="inlineStr">
        <is>
          <t>Reminder, telehealth link, privacy note, cancellation deadline</t>
        </is>
      </c>
      <c r="E6" s="79" t="inlineStr">
        <is>
          <t>Automated</t>
        </is>
      </c>
      <c r="F6" s="79" t="inlineStr">
        <is>
          <t>Enabled</t>
        </is>
      </c>
    </row>
    <row r="7">
      <c r="A7" s="79" t="inlineStr">
        <is>
          <t>Pre-session reminder</t>
        </is>
      </c>
      <c r="B7" s="79" t="inlineStr">
        <is>
          <t>SMS</t>
        </is>
      </c>
      <c r="C7" s="79" t="inlineStr">
        <is>
          <t>24 hours before session</t>
        </is>
      </c>
      <c r="D7" s="79" t="inlineStr">
        <is>
          <t>Short reminder with date, time, and secure portal reference</t>
        </is>
      </c>
      <c r="E7" s="79" t="inlineStr">
        <is>
          <t>Automated</t>
        </is>
      </c>
      <c r="F7" s="79" t="inlineStr">
        <is>
          <t>Enabled</t>
        </is>
      </c>
    </row>
    <row r="8">
      <c r="A8" s="79" t="inlineStr">
        <is>
          <t>Same-day reminder</t>
        </is>
      </c>
      <c r="B8" s="79" t="inlineStr">
        <is>
          <t>SMS</t>
        </is>
      </c>
      <c r="C8" s="79" t="inlineStr">
        <is>
          <t>2 hours before session</t>
        </is>
      </c>
      <c r="D8" s="79" t="inlineStr">
        <is>
          <t>Final reminder to reduce no-shows</t>
        </is>
      </c>
      <c r="E8" s="79" t="inlineStr">
        <is>
          <t>Automated</t>
        </is>
      </c>
      <c r="F8" s="79" t="inlineStr">
        <is>
          <t>Optional</t>
        </is>
      </c>
    </row>
    <row r="9">
      <c r="A9" s="79" t="inlineStr">
        <is>
          <t>Intake form incomplete</t>
        </is>
      </c>
      <c r="B9" s="79" t="inlineStr">
        <is>
          <t>Email</t>
        </is>
      </c>
      <c r="C9" s="79" t="inlineStr">
        <is>
          <t>48 hours before first session</t>
        </is>
      </c>
      <c r="D9" s="79" t="inlineStr">
        <is>
          <t>Ask client to complete intake and consent forms</t>
        </is>
      </c>
      <c r="E9" s="79" t="inlineStr">
        <is>
          <t>Admin / Automated</t>
        </is>
      </c>
      <c r="F9" s="79" t="inlineStr">
        <is>
          <t>Enabled</t>
        </is>
      </c>
    </row>
    <row r="10">
      <c r="A10" s="79" t="inlineStr">
        <is>
          <t>Cancellation</t>
        </is>
      </c>
      <c r="B10" s="79" t="inlineStr">
        <is>
          <t>Email</t>
        </is>
      </c>
      <c r="C10" s="79" t="inlineStr">
        <is>
          <t>Immediately after cancellation</t>
        </is>
      </c>
      <c r="D10" s="79" t="inlineStr">
        <is>
          <t>Confirm cancellation and offer rebooking link</t>
        </is>
      </c>
      <c r="E10" s="79" t="inlineStr">
        <is>
          <t>Automated</t>
        </is>
      </c>
      <c r="F10" s="79" t="inlineStr">
        <is>
          <t>Enabled</t>
        </is>
      </c>
    </row>
    <row r="11">
      <c r="A11" s="79" t="inlineStr">
        <is>
          <t>Reschedule</t>
        </is>
      </c>
      <c r="B11" s="79" t="inlineStr">
        <is>
          <t>Email</t>
        </is>
      </c>
      <c r="C11" s="79" t="inlineStr">
        <is>
          <t>Immediately after reschedule</t>
        </is>
      </c>
      <c r="D11" s="79" t="inlineStr">
        <is>
          <t>Confirm new date, time, therapist, virtual session link</t>
        </is>
      </c>
      <c r="E11" s="79" t="inlineStr">
        <is>
          <t>Automated</t>
        </is>
      </c>
      <c r="F11" s="79" t="inlineStr">
        <is>
          <t>Enabled</t>
        </is>
      </c>
    </row>
    <row r="12">
      <c r="A12" s="79" t="inlineStr">
        <is>
          <t>Missed appointment</t>
        </is>
      </c>
      <c r="B12" s="79" t="inlineStr">
        <is>
          <t>Email</t>
        </is>
      </c>
      <c r="C12" s="79" t="inlineStr">
        <is>
          <t>Same day</t>
        </is>
      </c>
      <c r="D12" s="79" t="inlineStr">
        <is>
          <t>Follow up with rebooking link and missed-session policy</t>
        </is>
      </c>
      <c r="E12" s="79" t="inlineStr">
        <is>
          <t>Admin</t>
        </is>
      </c>
      <c r="F12" s="79" t="inlineStr">
        <is>
          <t>Manual</t>
        </is>
      </c>
    </row>
    <row r="13">
      <c r="A13" s="79" t="inlineStr">
        <is>
          <t>Post-session</t>
        </is>
      </c>
      <c r="B13" s="79" t="inlineStr">
        <is>
          <t>Email</t>
        </is>
      </c>
      <c r="C13" s="79" t="inlineStr">
        <is>
          <t>After session</t>
        </is>
      </c>
      <c r="D13" s="79" t="inlineStr">
        <is>
          <t>Send receipt, next appointment reminder, and secure portal reference</t>
        </is>
      </c>
      <c r="E13" s="79" t="inlineStr">
        <is>
          <t>Automated</t>
        </is>
      </c>
      <c r="F13" s="79" t="inlineStr">
        <is>
          <t>Enabled</t>
        </is>
      </c>
    </row>
    <row r="16">
      <c r="A16" s="43" t="inlineStr">
        <is>
          <t>MESSAGE TEMPLATE VARIABLES</t>
        </is>
      </c>
      <c r="D16" s="43" t="inlineStr">
        <is>
          <t>EMAIL / SMS COPY EXAMPLES</t>
        </is>
      </c>
    </row>
    <row r="18">
      <c r="A18" s="80" t="inlineStr">
        <is>
          <t>Variable</t>
        </is>
      </c>
      <c r="B18" s="80" t="inlineStr">
        <is>
          <t>Meaning</t>
        </is>
      </c>
      <c r="D18" s="78" t="inlineStr">
        <is>
          <t>Type</t>
        </is>
      </c>
      <c r="E18" s="78" t="inlineStr">
        <is>
          <t>Subject / SMS</t>
        </is>
      </c>
      <c r="F18" s="78" t="inlineStr">
        <is>
          <t>Body</t>
        </is>
      </c>
    </row>
    <row r="19">
      <c r="A19" s="72" t="inlineStr">
        <is>
          <t>{{client_first_name}}</t>
        </is>
      </c>
      <c r="B19" s="72" t="inlineStr">
        <is>
          <t>Client first name</t>
        </is>
      </c>
      <c r="D19" s="79" t="inlineStr">
        <is>
          <t>Confirmation Email</t>
        </is>
      </c>
      <c r="E19" s="79" t="inlineStr">
        <is>
          <t>Appointment confirmed — {{appointment_date}} at {{appointment_time}}</t>
        </is>
      </c>
      <c r="F19" s="79" t="inlineStr">
        <is>
          <t>Hello {{client_first_name}}, your virtual appointment with {{therapist_name}} is confirmed for {{appointment_date}} at {{appointment_time}}. Use this secure link to join: {{session_link}}. Please review the cancellation policy: {{cancellation_policy}}.</t>
        </is>
      </c>
    </row>
    <row r="20">
      <c r="A20" s="72" t="inlineStr">
        <is>
          <t>{{appointment_date}}</t>
        </is>
      </c>
      <c r="B20" s="72" t="inlineStr">
        <is>
          <t>Appointment date</t>
        </is>
      </c>
      <c r="D20" s="79" t="inlineStr">
        <is>
          <t>24h Reminder Email</t>
        </is>
      </c>
      <c r="E20" s="79" t="inlineStr">
        <is>
          <t>Reminder: appointment tomorrow at {{appointment_time}}</t>
        </is>
      </c>
      <c r="F20" s="79" t="inlineStr">
        <is>
          <t>Hello {{client_first_name}}, this is a reminder of your virtual psychology appointment with {{therapist_name}} tomorrow at {{appointment_time}}. Join securely here: {{session_link}}.</t>
        </is>
      </c>
    </row>
    <row r="21">
      <c r="A21" s="72" t="inlineStr">
        <is>
          <t>{{appointment_time}}</t>
        </is>
      </c>
      <c r="B21" s="72" t="inlineStr">
        <is>
          <t>Appointment time</t>
        </is>
      </c>
      <c r="D21" s="79" t="inlineStr">
        <is>
          <t>SMS Reminder</t>
        </is>
      </c>
      <c r="E21" s="79" t="inlineStr">
        <is>
          <t>Psychology appointment reminder</t>
        </is>
      </c>
      <c r="F21" s="79" t="inlineStr">
        <is>
          <t>Reminder: your virtual appointment is on {{appointment_date}} at {{appointment_time}}. Please check your secure portal for details.</t>
        </is>
      </c>
    </row>
    <row r="22">
      <c r="A22" s="72" t="inlineStr">
        <is>
          <t>{{therapist_name}}</t>
        </is>
      </c>
      <c r="B22" s="72" t="inlineStr">
        <is>
          <t>Therapist name</t>
        </is>
      </c>
      <c r="D22" s="79" t="inlineStr">
        <is>
          <t>Intake Follow-up</t>
        </is>
      </c>
      <c r="E22" s="79" t="inlineStr">
        <is>
          <t>Please complete your intake forms</t>
        </is>
      </c>
      <c r="F22" s="79" t="inlineStr">
        <is>
          <t>Hello {{client_first_name}}, please complete your intake and consent forms before your first appointment. Use your secure portal link to access the forms.</t>
        </is>
      </c>
    </row>
    <row r="23">
      <c r="A23" s="72" t="inlineStr">
        <is>
          <t>{{session_link}}</t>
        </is>
      </c>
      <c r="B23" s="72" t="inlineStr">
        <is>
          <t>Secure virtual session link</t>
        </is>
      </c>
      <c r="D23" s="79" t="inlineStr">
        <is>
          <t>Cancellation Email</t>
        </is>
      </c>
      <c r="E23" s="79" t="inlineStr">
        <is>
          <t>Appointment cancelled</t>
        </is>
      </c>
      <c r="F23" s="79" t="inlineStr">
        <is>
          <t>Hello {{client_first_name}}, your appointment on {{appointment_date}} at {{appointment_time}} has been cancelled. You can rebook here: {{rebooking_link}}.</t>
        </is>
      </c>
    </row>
    <row r="24">
      <c r="A24" s="72" t="inlineStr">
        <is>
          <t>{{clinic_email}}</t>
        </is>
      </c>
      <c r="B24" s="72" t="inlineStr">
        <is>
          <t>Clinic support email</t>
        </is>
      </c>
      <c r="D24" s="79" t="inlineStr">
        <is>
          <t>Missed Appointment Follow-up</t>
        </is>
      </c>
      <c r="E24" s="79" t="inlineStr">
        <is>
          <t>Follow-up regarding missed appointment</t>
        </is>
      </c>
      <c r="F24" s="79" t="inlineStr">
        <is>
          <t>Hello {{client_first_name}}, we noticed you were unable to attend your appointment today. Please contact us or use this link to rebook: {{rebooking_link}}.</t>
        </is>
      </c>
    </row>
    <row r="25">
      <c r="A25" s="72" t="inlineStr">
        <is>
          <t>{{cancellation_policy}}</t>
        </is>
      </c>
      <c r="B25" s="72" t="inlineStr">
        <is>
          <t>Cancellation policy text</t>
        </is>
      </c>
    </row>
    <row r="26">
      <c r="A26" s="72" t="inlineStr">
        <is>
          <t>{{rebooking_link}}</t>
        </is>
      </c>
      <c r="B26" s="72" t="inlineStr">
        <is>
          <t>Online booking link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6:B16"/>
    <mergeCell ref="A1:F1"/>
    <mergeCell ref="D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77" t="inlineStr">
        <is>
          <t>VIRTUAL PSYCHOLOGY CLINIC — THERAPIST TABLET NOTE-TAKING WORKFLOW</t>
        </is>
      </c>
    </row>
    <row r="3">
      <c r="A3" s="78" t="inlineStr">
        <is>
          <t>Workflow Step</t>
        </is>
      </c>
      <c r="B3" s="78" t="inlineStr">
        <is>
          <t>Tablet Use</t>
        </is>
      </c>
      <c r="C3" s="78" t="inlineStr">
        <is>
          <t>Data Captured</t>
        </is>
      </c>
      <c r="D3" s="78" t="inlineStr">
        <is>
          <t>Security Requirement</t>
        </is>
      </c>
      <c r="E3" s="78" t="inlineStr">
        <is>
          <t>Owner</t>
        </is>
      </c>
      <c r="F3" s="78" t="inlineStr">
        <is>
          <t>Status</t>
        </is>
      </c>
    </row>
    <row r="4">
      <c r="A4" s="79" t="inlineStr">
        <is>
          <t>Pre-session preparation</t>
        </is>
      </c>
      <c r="B4" s="79" t="inlineStr">
        <is>
          <t>Review appointment, intake summary, prior notes, client goals</t>
        </is>
      </c>
      <c r="C4" s="79" t="inlineStr">
        <is>
          <t>Session context, prior session summary</t>
        </is>
      </c>
      <c r="D4" s="79" t="inlineStr">
        <is>
          <t>Secure login, role-based access</t>
        </is>
      </c>
      <c r="E4" s="79" t="inlineStr">
        <is>
          <t>Therapist</t>
        </is>
      </c>
      <c r="F4" s="79" t="inlineStr">
        <is>
          <t>Enabled</t>
        </is>
      </c>
    </row>
    <row r="5">
      <c r="A5" s="79" t="inlineStr">
        <is>
          <t>During session</t>
        </is>
      </c>
      <c r="B5" s="79" t="inlineStr">
        <is>
          <t>Minimal structured notes, risk flags, intervention tags</t>
        </is>
      </c>
      <c r="C5" s="79" t="inlineStr">
        <is>
          <t>Clinical observations, themes, interventions</t>
        </is>
      </c>
      <c r="D5" s="79" t="inlineStr">
        <is>
          <t>No local storage; autosave to secure platform</t>
        </is>
      </c>
      <c r="E5" s="79" t="inlineStr">
        <is>
          <t>Therapist</t>
        </is>
      </c>
      <c r="F5" s="79" t="inlineStr">
        <is>
          <t>Enabled</t>
        </is>
      </c>
    </row>
    <row r="6">
      <c r="A6" s="79" t="inlineStr">
        <is>
          <t>Protocol reference</t>
        </is>
      </c>
      <c r="B6" s="79" t="inlineStr">
        <is>
          <t>Open CBT, DBT, ACT, mindfulness, exposure, or psychoeducation protocol</t>
        </is>
      </c>
      <c r="C6" s="79" t="inlineStr">
        <is>
          <t>Protocol used, module, homework assigned</t>
        </is>
      </c>
      <c r="D6" s="79" t="inlineStr">
        <is>
          <t>Read-only protocol library</t>
        </is>
      </c>
      <c r="E6" s="79" t="inlineStr">
        <is>
          <t>Therapist</t>
        </is>
      </c>
      <c r="F6" s="79" t="inlineStr">
        <is>
          <t>Enabled</t>
        </is>
      </c>
    </row>
    <row r="7">
      <c r="A7" s="79" t="inlineStr">
        <is>
          <t>Post-session notes</t>
        </is>
      </c>
      <c r="B7" s="79" t="inlineStr">
        <is>
          <t>Complete note, treatment-plan update, next-step plan</t>
        </is>
      </c>
      <c r="C7" s="79" t="inlineStr">
        <is>
          <t>Session note, plan, assigned exercises</t>
        </is>
      </c>
      <c r="D7" s="79" t="inlineStr">
        <is>
          <t>Timestamped note and audit trail</t>
        </is>
      </c>
      <c r="E7" s="79" t="inlineStr">
        <is>
          <t>Therapist</t>
        </is>
      </c>
      <c r="F7" s="79" t="inlineStr">
        <is>
          <t>Enabled</t>
        </is>
      </c>
    </row>
    <row r="8">
      <c r="A8" s="79" t="inlineStr">
        <is>
          <t>Patient journal review</t>
        </is>
      </c>
      <c r="B8" s="79" t="inlineStr">
        <is>
          <t>Review shared patient journal entries before session</t>
        </is>
      </c>
      <c r="C8" s="79" t="inlineStr">
        <is>
          <t>Mood entries, triggers, reflections, homework progress</t>
        </is>
      </c>
      <c r="D8" s="79" t="inlineStr">
        <is>
          <t>Client consent and sharing control required</t>
        </is>
      </c>
      <c r="E8" s="79" t="inlineStr">
        <is>
          <t>Therapist</t>
        </is>
      </c>
      <c r="F8" s="79" t="inlineStr">
        <is>
          <t>Optional</t>
        </is>
      </c>
    </row>
    <row r="9">
      <c r="A9" s="79" t="inlineStr">
        <is>
          <t>Risk escalation</t>
        </is>
      </c>
      <c r="B9" s="79" t="inlineStr">
        <is>
          <t>Flag safety concern or urgent follow-up</t>
        </is>
      </c>
      <c r="C9" s="79" t="inlineStr">
        <is>
          <t>Risk note, follow-up action</t>
        </is>
      </c>
      <c r="D9" s="79" t="inlineStr">
        <is>
          <t>Restricted access and audit trail</t>
        </is>
      </c>
      <c r="E9" s="79" t="inlineStr">
        <is>
          <t>Therapist / Clinical Director</t>
        </is>
      </c>
      <c r="F9" s="79" t="inlineStr">
        <is>
          <t>Required</t>
        </is>
      </c>
    </row>
    <row r="10">
      <c r="A10" s="79" t="inlineStr">
        <is>
          <t>Supervisor review</t>
        </is>
      </c>
      <c r="B10" s="79" t="inlineStr">
        <is>
          <t>Clinical Director reviews selected notes</t>
        </is>
      </c>
      <c r="C10" s="79" t="inlineStr">
        <is>
          <t>Supervision comments, quality assurance</t>
        </is>
      </c>
      <c r="D10" s="79" t="inlineStr">
        <is>
          <t>Role-based supervisor access</t>
        </is>
      </c>
      <c r="E10" s="79" t="inlineStr">
        <is>
          <t>Clinical Director</t>
        </is>
      </c>
      <c r="F10" s="79" t="inlineStr">
        <is>
          <t>Optional</t>
        </is>
      </c>
    </row>
    <row r="11">
      <c r="A11" s="79" t="inlineStr">
        <is>
          <t>Export / audit</t>
        </is>
      </c>
      <c r="B11" s="79" t="inlineStr">
        <is>
          <t>Export selected documentation when required</t>
        </is>
      </c>
      <c r="C11" s="79" t="inlineStr">
        <is>
          <t>Notes, timestamps, consent record</t>
        </is>
      </c>
      <c r="D11" s="79" t="inlineStr">
        <is>
          <t>Admin-only export permissions</t>
        </is>
      </c>
      <c r="E11" s="79" t="inlineStr">
        <is>
          <t>Admin / Director</t>
        </is>
      </c>
      <c r="F11" s="79" t="inlineStr">
        <is>
          <t>Controlled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77" t="inlineStr">
        <is>
          <t>MOBILE COMPANION APP — PATIENT MOCKUP DRAFT</t>
        </is>
      </c>
    </row>
    <row r="3">
      <c r="A3" t="inlineStr">
        <is>
          <t>App Purpose</t>
        </is>
      </c>
      <c r="B3" t="inlineStr">
        <is>
          <t>Help patients receive reminders, access assigned protocols, complete between-session exercises, maintain a private journal, and share selected entries with their therapist.</t>
        </is>
      </c>
    </row>
    <row r="5">
      <c r="A5" t="inlineStr">
        <is>
          <t>Primary User</t>
        </is>
      </c>
      <c r="B5" t="inlineStr">
        <is>
          <t>Psychology client / patient</t>
        </is>
      </c>
    </row>
    <row r="7">
      <c r="A7" s="78" t="inlineStr">
        <is>
          <t>Core Screens</t>
        </is>
      </c>
      <c r="B7" s="78" t="inlineStr">
        <is>
          <t>Description</t>
        </is>
      </c>
      <c r="C7" s="78" t="inlineStr">
        <is>
          <t>Phase</t>
        </is>
      </c>
      <c r="D7" s="78" t="inlineStr">
        <is>
          <t>Data Sensitivity</t>
        </is>
      </c>
      <c r="E7" s="78" t="inlineStr">
        <is>
          <t>Therapist Visible?</t>
        </is>
      </c>
      <c r="F7" s="78" t="inlineStr">
        <is>
          <t>Notes</t>
        </is>
      </c>
    </row>
    <row r="8">
      <c r="A8" s="79" t="inlineStr">
        <is>
          <t>Home</t>
        </is>
      </c>
      <c r="B8" s="79" t="inlineStr">
        <is>
          <t>Upcoming appointment, reminder status, next assigned task, quick journal button</t>
        </is>
      </c>
      <c r="C8" s="79" t="inlineStr">
        <is>
          <t>MVP</t>
        </is>
      </c>
      <c r="D8" s="79" t="inlineStr">
        <is>
          <t>Medium</t>
        </is>
      </c>
      <c r="E8" s="79" t="inlineStr">
        <is>
          <t>No</t>
        </is>
      </c>
      <c r="F8" s="79" t="inlineStr">
        <is>
          <t>Keep simple and low-friction</t>
        </is>
      </c>
    </row>
    <row r="9">
      <c r="A9" s="79" t="inlineStr">
        <is>
          <t>Appointment Reminders</t>
        </is>
      </c>
      <c r="B9" s="79" t="inlineStr">
        <is>
          <t>Session date/time, secure session link, cancellation policy, reminder preferences</t>
        </is>
      </c>
      <c r="C9" s="79" t="inlineStr">
        <is>
          <t>MVP</t>
        </is>
      </c>
      <c r="D9" s="79" t="inlineStr">
        <is>
          <t>Medium</t>
        </is>
      </c>
      <c r="E9" s="79" t="inlineStr">
        <is>
          <t>No</t>
        </is>
      </c>
      <c r="F9" s="79" t="inlineStr">
        <is>
          <t>Syncs with communications plugin</t>
        </is>
      </c>
    </row>
    <row r="10">
      <c r="A10" s="79" t="inlineStr">
        <is>
          <t>Protocol Library</t>
        </is>
      </c>
      <c r="B10" s="79" t="inlineStr">
        <is>
          <t>Therapist-assigned CBT, DBT, ACT, mindfulness, grounding, exposure, sleep, anxiety, depression, stress modules</t>
        </is>
      </c>
      <c r="C10" s="79" t="inlineStr">
        <is>
          <t>Phase 2</t>
        </is>
      </c>
      <c r="D10" s="79" t="inlineStr">
        <is>
          <t>Medium</t>
        </is>
      </c>
      <c r="E10" s="79" t="inlineStr">
        <is>
          <t>Assignment status only</t>
        </is>
      </c>
      <c r="F10" s="79" t="inlineStr">
        <is>
          <t>Therapist controls which protocols appear</t>
        </is>
      </c>
    </row>
    <row r="11">
      <c r="A11" s="79" t="inlineStr">
        <is>
          <t>Exercises</t>
        </is>
      </c>
      <c r="B11" s="79" t="inlineStr">
        <is>
          <t>Between-session homework, worksheets, reflections, exposure logs, thought records</t>
        </is>
      </c>
      <c r="C11" s="79" t="inlineStr">
        <is>
          <t>Phase 2</t>
        </is>
      </c>
      <c r="D11" s="79" t="inlineStr">
        <is>
          <t>High</t>
        </is>
      </c>
      <c r="E11" s="79" t="inlineStr">
        <is>
          <t>Optional</t>
        </is>
      </c>
      <c r="F11" s="79" t="inlineStr">
        <is>
          <t>Patient decides what to submit/share</t>
        </is>
      </c>
    </row>
    <row r="12">
      <c r="A12" s="79" t="inlineStr">
        <is>
          <t>Journal</t>
        </is>
      </c>
      <c r="B12" s="79" t="inlineStr">
        <is>
          <t>Private journal, mood check-in, tags, triggers, gratitude, coping notes</t>
        </is>
      </c>
      <c r="C12" s="79" t="inlineStr">
        <is>
          <t>MVP</t>
        </is>
      </c>
      <c r="D12" s="79" t="inlineStr">
        <is>
          <t>High</t>
        </is>
      </c>
      <c r="E12" s="79" t="inlineStr">
        <is>
          <t>Optional</t>
        </is>
      </c>
      <c r="F12" s="79" t="inlineStr">
        <is>
          <t>Default private; sharing must be explicit</t>
        </is>
      </c>
    </row>
    <row r="13">
      <c r="A13" s="79" t="inlineStr">
        <is>
          <t>Mood Tracker</t>
        </is>
      </c>
      <c r="B13" s="79" t="inlineStr">
        <is>
          <t>Daily mood, anxiety level, sleep, stress, energy, notes</t>
        </is>
      </c>
      <c r="C13" s="79" t="inlineStr">
        <is>
          <t>MVP</t>
        </is>
      </c>
      <c r="D13" s="79" t="inlineStr">
        <is>
          <t>High</t>
        </is>
      </c>
      <c r="E13" s="79" t="inlineStr">
        <is>
          <t>Optional summary</t>
        </is>
      </c>
      <c r="F13" s="79" t="inlineStr">
        <is>
          <t>Use simple scales, not diagnostic claims</t>
        </is>
      </c>
    </row>
    <row r="14">
      <c r="A14" s="79" t="inlineStr">
        <is>
          <t>Secure Messages</t>
        </is>
      </c>
      <c r="B14" s="79" t="inlineStr">
        <is>
          <t>Admin/clinic messages, appointment logistics, non-urgent therapist messages if enabled</t>
        </is>
      </c>
      <c r="C14" s="79" t="inlineStr">
        <is>
          <t>Phase 3</t>
        </is>
      </c>
      <c r="D14" s="79" t="inlineStr">
        <is>
          <t>High</t>
        </is>
      </c>
      <c r="E14" s="79" t="inlineStr">
        <is>
          <t>Yes</t>
        </is>
      </c>
      <c r="F14" s="79" t="inlineStr">
        <is>
          <t>Must include response-time disclaimer</t>
        </is>
      </c>
    </row>
    <row r="15">
      <c r="A15" s="79" t="inlineStr">
        <is>
          <t>Resources</t>
        </is>
      </c>
      <c r="B15" s="79" t="inlineStr">
        <is>
          <t>Crisis resources, clinic policies, consent documents, privacy policy</t>
        </is>
      </c>
      <c r="C15" s="79" t="inlineStr">
        <is>
          <t>MVP</t>
        </is>
      </c>
      <c r="D15" s="79" t="inlineStr">
        <is>
          <t>Medium</t>
        </is>
      </c>
      <c r="E15" s="79" t="inlineStr">
        <is>
          <t>No</t>
        </is>
      </c>
      <c r="F15" s="79" t="inlineStr">
        <is>
          <t>Crisis content must be visible and accessible</t>
        </is>
      </c>
    </row>
    <row r="16">
      <c r="A16" s="79" t="inlineStr">
        <is>
          <t>Profile &amp; Consent</t>
        </is>
      </c>
      <c r="B16" s="79" t="inlineStr">
        <is>
          <t>Notification preferences, sharing permissions, privacy controls, consent history</t>
        </is>
      </c>
      <c r="C16" s="79" t="inlineStr">
        <is>
          <t>MVP</t>
        </is>
      </c>
      <c r="D16" s="79" t="inlineStr">
        <is>
          <t>High</t>
        </is>
      </c>
      <c r="E16" s="79" t="inlineStr">
        <is>
          <t>Admin only</t>
        </is>
      </c>
      <c r="F16" s="79" t="inlineStr">
        <is>
          <t>Required for Law 25-aligned privacy design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77" t="inlineStr">
        <is>
          <t>COMPLIANCE &amp; GOVERNANCE — QUEBEC VS ALBERTA</t>
        </is>
      </c>
    </row>
    <row r="3">
      <c r="A3" s="78" t="inlineStr">
        <is>
          <t>Area</t>
        </is>
      </c>
      <c r="B3" s="78" t="inlineStr">
        <is>
          <t>Quebec Requirement</t>
        </is>
      </c>
      <c r="C3" s="78" t="inlineStr">
        <is>
          <t>Alberta Requirement</t>
        </is>
      </c>
      <c r="D3" s="78" t="inlineStr">
        <is>
          <t>Platform Impact</t>
        </is>
      </c>
      <c r="E3" s="78" t="inlineStr">
        <is>
          <t>Quebec Cost Level</t>
        </is>
      </c>
      <c r="F3" s="78" t="inlineStr">
        <is>
          <t>Alberta Cost Level</t>
        </is>
      </c>
      <c r="G3" s="78" t="inlineStr">
        <is>
          <t>Frequency</t>
        </is>
      </c>
      <c r="H3" s="78" t="inlineStr">
        <is>
          <t>Notes</t>
        </is>
      </c>
    </row>
    <row r="4">
      <c r="A4" s="79" t="inlineStr">
        <is>
          <t>Privacy law</t>
        </is>
      </c>
      <c r="B4" s="79" t="inlineStr">
        <is>
          <t>Law 25 / Quebec private-sector privacy law</t>
        </is>
      </c>
      <c r="C4" s="79" t="inlineStr">
        <is>
          <t>Alberta PIPA</t>
        </is>
      </c>
      <c r="D4" s="79" t="inlineStr">
        <is>
          <t>Quebec requires heavier governance; Alberta can be lighter but still requires safeguards</t>
        </is>
      </c>
      <c r="E4" s="79" t="inlineStr">
        <is>
          <t>High</t>
        </is>
      </c>
      <c r="F4" s="79" t="inlineStr">
        <is>
          <t>Medium</t>
        </is>
      </c>
      <c r="G4" s="79" t="inlineStr">
        <is>
          <t>Ongoing</t>
        </is>
      </c>
      <c r="H4" s="79" t="inlineStr">
        <is>
          <t>Alberta is not no-compliance; it is lower-burden</t>
        </is>
      </c>
    </row>
    <row r="5">
      <c r="A5" s="79" t="inlineStr">
        <is>
          <t>Privacy impact assessment</t>
        </is>
      </c>
      <c r="B5" s="79" t="inlineStr">
        <is>
          <t>Required for new or overhauled systems involving personal information</t>
        </is>
      </c>
      <c r="C5" s="79" t="inlineStr">
        <is>
          <t>Recommended for higher-risk platform changes</t>
        </is>
      </c>
      <c r="D5" s="79" t="inlineStr">
        <is>
          <t>Formal PIA needed in Quebec; lighter review in Alberta</t>
        </is>
      </c>
      <c r="E5" s="79" t="inlineStr">
        <is>
          <t>High</t>
        </is>
      </c>
      <c r="F5" s="79" t="inlineStr">
        <is>
          <t>Low-Medium</t>
        </is>
      </c>
      <c r="G5" s="79" t="inlineStr">
        <is>
          <t>At launch and major changes</t>
        </is>
      </c>
      <c r="H5" s="79" t="inlineStr">
        <is>
          <t>Applies strongly to patient app, journal, protocols, AI note tools</t>
        </is>
      </c>
    </row>
    <row r="6">
      <c r="A6" s="79" t="inlineStr">
        <is>
          <t>Incident register</t>
        </is>
      </c>
      <c r="B6" s="79" t="inlineStr">
        <is>
          <t>Maintain confidentiality incident governance and register</t>
        </is>
      </c>
      <c r="C6" s="79" t="inlineStr">
        <is>
          <t>Breach response process required where real risk of significant harm exists</t>
        </is>
      </c>
      <c r="D6" s="79" t="inlineStr">
        <is>
          <t>Both need incident workflows; Quebec needs more formal register</t>
        </is>
      </c>
      <c r="E6" s="79" t="inlineStr">
        <is>
          <t>Medium</t>
        </is>
      </c>
      <c r="F6" s="79" t="inlineStr">
        <is>
          <t>Medium</t>
        </is>
      </c>
      <c r="G6" s="79" t="inlineStr">
        <is>
          <t>Ongoing</t>
        </is>
      </c>
      <c r="H6" s="79" t="inlineStr">
        <is>
          <t>Include breach triage, notice workflow, owner, timeline</t>
        </is>
      </c>
    </row>
    <row r="7">
      <c r="A7" s="79" t="inlineStr">
        <is>
          <t>Consent</t>
        </is>
      </c>
      <c r="B7" s="79" t="inlineStr">
        <is>
          <t>Explicit and structured consent tracking recommended</t>
        </is>
      </c>
      <c r="C7" s="79" t="inlineStr">
        <is>
          <t>Consent embedded in therapist workflow and intake</t>
        </is>
      </c>
      <c r="D7" s="79" t="inlineStr">
        <is>
          <t>Quebec needs stronger platform-level consent logs</t>
        </is>
      </c>
      <c r="E7" s="79" t="inlineStr">
        <is>
          <t>High</t>
        </is>
      </c>
      <c r="F7" s="79" t="inlineStr">
        <is>
          <t>Medium</t>
        </is>
      </c>
      <c r="G7" s="79" t="inlineStr">
        <is>
          <t>Ongoing</t>
        </is>
      </c>
      <c r="H7" s="79" t="inlineStr">
        <is>
          <t>Especially for journal sharing, protocols, reminders, SMS</t>
        </is>
      </c>
    </row>
    <row r="8">
      <c r="A8" s="79" t="inlineStr">
        <is>
          <t>Records and confidentiality</t>
        </is>
      </c>
      <c r="B8" s="79" t="inlineStr">
        <is>
          <t>Professional confidentiality and secure records</t>
        </is>
      </c>
      <c r="C8" s="79" t="inlineStr">
        <is>
          <t>Professional confidentiality and secure records</t>
        </is>
      </c>
      <c r="D8" s="79" t="inlineStr">
        <is>
          <t>Same clinical standard; different governance intensity</t>
        </is>
      </c>
      <c r="E8" s="79" t="inlineStr">
        <is>
          <t>High</t>
        </is>
      </c>
      <c r="F8" s="79" t="inlineStr">
        <is>
          <t>High</t>
        </is>
      </c>
      <c r="G8" s="79" t="inlineStr">
        <is>
          <t>Ongoing</t>
        </is>
      </c>
      <c r="H8" s="79" t="inlineStr">
        <is>
          <t>Applies to notes, journals, therapist tablets, messages</t>
        </is>
      </c>
    </row>
    <row r="9">
      <c r="A9" s="79" t="inlineStr">
        <is>
          <t>Telepsychology</t>
        </is>
      </c>
      <c r="B9" s="79" t="inlineStr">
        <is>
          <t>Same clinical standards apply virtually</t>
        </is>
      </c>
      <c r="C9" s="79" t="inlineStr">
        <is>
          <t>Same clinical standards apply virtually</t>
        </is>
      </c>
      <c r="D9" s="79" t="inlineStr">
        <is>
          <t>Informed consent must include telehealth risks and limits</t>
        </is>
      </c>
      <c r="E9" s="79" t="inlineStr">
        <is>
          <t>Medium</t>
        </is>
      </c>
      <c r="F9" s="79" t="inlineStr">
        <is>
          <t>Medium</t>
        </is>
      </c>
      <c r="G9" s="79" t="inlineStr">
        <is>
          <t>Launch and annual review</t>
        </is>
      </c>
      <c r="H9" s="79" t="inlineStr">
        <is>
          <t>Include emergency location, crisis instructions, technology limits</t>
        </is>
      </c>
    </row>
    <row r="10">
      <c r="A10" s="79" t="inlineStr">
        <is>
          <t>Advertising</t>
        </is>
      </c>
      <c r="B10" s="79" t="inlineStr">
        <is>
          <t>No misleading claims; professional title and scope must be accurate</t>
        </is>
      </c>
      <c r="C10" s="79" t="inlineStr">
        <is>
          <t>No misleading claims; professional title and scope must be accurate</t>
        </is>
      </c>
      <c r="D10" s="79" t="inlineStr">
        <is>
          <t>Ads must avoid guaranteed outcomes</t>
        </is>
      </c>
      <c r="E10" s="79" t="inlineStr">
        <is>
          <t>Medium</t>
        </is>
      </c>
      <c r="F10" s="79" t="inlineStr">
        <is>
          <t>Medium</t>
        </is>
      </c>
      <c r="G10" s="79" t="inlineStr">
        <is>
          <t>Ongoing</t>
        </is>
      </c>
      <c r="H10" s="79" t="inlineStr">
        <is>
          <t>Applies to Google Ads, landing pages, therapist profiles</t>
        </is>
      </c>
    </row>
    <row r="11">
      <c r="A11" s="79" t="inlineStr">
        <is>
          <t>Data hosting</t>
        </is>
      </c>
      <c r="B11" s="79" t="inlineStr">
        <is>
          <t>Prefer Canadian hosting and vendor review</t>
        </is>
      </c>
      <c r="C11" s="79" t="inlineStr">
        <is>
          <t>Prefer Canadian hosting and vendor review</t>
        </is>
      </c>
      <c r="D11" s="79" t="inlineStr">
        <is>
          <t>Quebec needs stronger vendor due diligence</t>
        </is>
      </c>
      <c r="E11" s="79" t="inlineStr">
        <is>
          <t>Medium-High</t>
        </is>
      </c>
      <c r="F11" s="79" t="inlineStr">
        <is>
          <t>Medium</t>
        </is>
      </c>
      <c r="G11" s="79" t="inlineStr">
        <is>
          <t>Annual</t>
        </is>
      </c>
      <c r="H11" s="79" t="inlineStr">
        <is>
          <t>Do not promise data residency unless contract confirms it</t>
        </is>
      </c>
    </row>
    <row r="12">
      <c r="A12" s="79" t="inlineStr">
        <is>
          <t>AI note tools</t>
        </is>
      </c>
      <c r="B12" s="79" t="inlineStr">
        <is>
          <t>Higher review burden due to sensitive data and Law 25</t>
        </is>
      </c>
      <c r="C12" s="79" t="inlineStr">
        <is>
          <t>Review required, lighter governance possible</t>
        </is>
      </c>
      <c r="D12" s="79" t="inlineStr">
        <is>
          <t>AI features require opt-in, policy, audit trail</t>
        </is>
      </c>
      <c r="E12" s="79" t="inlineStr">
        <is>
          <t>High</t>
        </is>
      </c>
      <c r="F12" s="79" t="inlineStr">
        <is>
          <t>Medium</t>
        </is>
      </c>
      <c r="G12" s="79" t="inlineStr">
        <is>
          <t>Before use and annual</t>
        </is>
      </c>
      <c r="H12" s="79" t="inlineStr">
        <is>
          <t>Avoid autonomous clinical recommendations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77" t="inlineStr">
        <is>
          <t>COMPLIANCE, INSURANCE, HOSTING, LICENSES &amp; ADVERTISING COST ASSUMPTIONS</t>
        </is>
      </c>
    </row>
    <row r="3">
      <c r="A3" s="78" t="inlineStr">
        <is>
          <t>Cost Item</t>
        </is>
      </c>
      <c r="B3" s="78" t="inlineStr">
        <is>
          <t>Quebec Base Monthly</t>
        </is>
      </c>
      <c r="C3" s="78" t="inlineStr">
        <is>
          <t>Alberta Clinic Monthly</t>
        </is>
      </c>
      <c r="D3" s="78" t="inlineStr">
        <is>
          <t>Alberta Solo Monthly</t>
        </is>
      </c>
      <c r="E3" s="78" t="inlineStr">
        <is>
          <t>Annual Equivalent Quebec</t>
        </is>
      </c>
      <c r="F3" s="78" t="inlineStr">
        <is>
          <t>Annual Equivalent Alberta Clinic</t>
        </is>
      </c>
      <c r="G3" s="78" t="inlineStr">
        <is>
          <t>Annual Equivalent Alberta Solo</t>
        </is>
      </c>
      <c r="H3" s="78" t="inlineStr">
        <is>
          <t>Driver</t>
        </is>
      </c>
      <c r="I3" s="78" t="inlineStr">
        <is>
          <t>Notes</t>
        </is>
      </c>
    </row>
    <row r="4">
      <c r="A4" s="79" t="inlineStr">
        <is>
          <t>Privacy / governance legal review</t>
        </is>
      </c>
      <c r="B4" s="87" t="n">
        <v>350</v>
      </c>
      <c r="C4" s="87" t="n">
        <v>175</v>
      </c>
      <c r="D4" s="87" t="n">
        <v>75</v>
      </c>
      <c r="E4" s="88">
        <f>B4*12</f>
        <v/>
      </c>
      <c r="F4" s="88">
        <f>C4*12</f>
        <v/>
      </c>
      <c r="G4" s="88">
        <f>D4*12</f>
        <v/>
      </c>
      <c r="H4" s="79" t="inlineStr">
        <is>
          <t>Law 25 / PIPA</t>
        </is>
      </c>
      <c r="I4" s="79" t="inlineStr">
        <is>
          <t>Quebec heavier because of Law 25 governance and PIA expectations</t>
        </is>
      </c>
    </row>
    <row r="5">
      <c r="A5" s="79" t="inlineStr">
        <is>
          <t>Software privacy audit amortization</t>
        </is>
      </c>
      <c r="B5" s="87" t="n">
        <v>500</v>
      </c>
      <c r="C5" s="87" t="n">
        <v>225</v>
      </c>
      <c r="D5" s="87" t="n">
        <v>75</v>
      </c>
      <c r="E5" s="88">
        <f>B5*12</f>
        <v/>
      </c>
      <c r="F5" s="88">
        <f>C5*12</f>
        <v/>
      </c>
      <c r="G5" s="88">
        <f>D5*12</f>
        <v/>
      </c>
      <c r="H5" s="79" t="inlineStr">
        <is>
          <t>Annual audit amortized monthly</t>
        </is>
      </c>
      <c r="I5" s="79" t="inlineStr">
        <is>
          <t>Covers vendor review, access controls, logs, consent, retention, breach workflow</t>
        </is>
      </c>
    </row>
    <row r="6">
      <c r="A6" s="79" t="inlineStr">
        <is>
          <t>Penetration test / security review amortization</t>
        </is>
      </c>
      <c r="B6" s="87" t="n">
        <v>300</v>
      </c>
      <c r="C6" s="87" t="n">
        <v>175</v>
      </c>
      <c r="D6" s="87" t="n">
        <v>50</v>
      </c>
      <c r="E6" s="88">
        <f>B6*12</f>
        <v/>
      </c>
      <c r="F6" s="88">
        <f>C6*12</f>
        <v/>
      </c>
      <c r="G6" s="88">
        <f>D6*12</f>
        <v/>
      </c>
      <c r="H6" s="79" t="inlineStr">
        <is>
          <t>Annual lightweight security review</t>
        </is>
      </c>
      <c r="I6" s="79" t="inlineStr">
        <is>
          <t>Higher if custom app stores PHI or journal data</t>
        </is>
      </c>
    </row>
    <row r="7">
      <c r="A7" s="79" t="inlineStr">
        <is>
          <t>Cyber liability insurance</t>
        </is>
      </c>
      <c r="B7" s="87" t="n">
        <v>125</v>
      </c>
      <c r="C7" s="87" t="n">
        <v>100</v>
      </c>
      <c r="D7" s="87" t="n">
        <v>25</v>
      </c>
      <c r="E7" s="88">
        <f>B7*12</f>
        <v/>
      </c>
      <c r="F7" s="88">
        <f>C7*12</f>
        <v/>
      </c>
      <c r="G7" s="88">
        <f>D7*12</f>
        <v/>
      </c>
      <c r="H7" s="79" t="inlineStr">
        <is>
          <t>Sensitive health data</t>
        </is>
      </c>
      <c r="I7" s="79" t="inlineStr">
        <is>
          <t>Assumes small business cyber coverage; solo can use lighter add-on if covered elsewhere</t>
        </is>
      </c>
    </row>
    <row r="8">
      <c r="A8" s="79" t="inlineStr">
        <is>
          <t>Professional liability / E&amp;O platform allocation</t>
        </is>
      </c>
      <c r="B8" s="87" t="n">
        <v>250</v>
      </c>
      <c r="C8" s="87" t="n">
        <v>200</v>
      </c>
      <c r="D8" s="87" t="n">
        <v>0</v>
      </c>
      <c r="E8" s="88">
        <f>B8*12</f>
        <v/>
      </c>
      <c r="F8" s="88">
        <f>C8*12</f>
        <v/>
      </c>
      <c r="G8" s="88">
        <f>D8*12</f>
        <v/>
      </c>
      <c r="H8" s="79" t="inlineStr">
        <is>
          <t>Clinic-level risk</t>
        </is>
      </c>
      <c r="I8" s="79" t="inlineStr">
        <is>
          <t>Solo therapists usually carry their own professional liability</t>
        </is>
      </c>
    </row>
    <row r="9">
      <c r="A9" s="79" t="inlineStr">
        <is>
          <t>Commercial general liability / business policy</t>
        </is>
      </c>
      <c r="B9" s="87" t="n">
        <v>85</v>
      </c>
      <c r="C9" s="87" t="n">
        <v>65</v>
      </c>
      <c r="D9" s="87" t="n">
        <v>0</v>
      </c>
      <c r="E9" s="88">
        <f>B9*12</f>
        <v/>
      </c>
      <c r="F9" s="88">
        <f>C9*12</f>
        <v/>
      </c>
      <c r="G9" s="88">
        <f>D9*12</f>
        <v/>
      </c>
      <c r="H9" s="79" t="inlineStr">
        <is>
          <t>Business operations</t>
        </is>
      </c>
      <c r="I9" s="79" t="inlineStr">
        <is>
          <t>Mostly platform/clinic cost, not solo therapist package</t>
        </is>
      </c>
    </row>
    <row r="10">
      <c r="A10" s="79" t="inlineStr">
        <is>
          <t>Secure hosting / cloud infrastructure</t>
        </is>
      </c>
      <c r="B10" s="87" t="n">
        <v>250</v>
      </c>
      <c r="C10" s="87" t="n">
        <v>175</v>
      </c>
      <c r="D10" s="87" t="n">
        <v>50</v>
      </c>
      <c r="E10" s="88">
        <f>B10*12</f>
        <v/>
      </c>
      <c r="F10" s="88">
        <f>C10*12</f>
        <v/>
      </c>
      <c r="G10" s="88">
        <f>D10*12</f>
        <v/>
      </c>
      <c r="H10" s="79" t="inlineStr">
        <is>
          <t>Website, app, backups, logs</t>
        </is>
      </c>
      <c r="I10" s="79" t="inlineStr">
        <is>
          <t>Use Canadian region where possible; costs rise with patient app usage</t>
        </is>
      </c>
    </row>
    <row r="11">
      <c r="A11" s="79" t="inlineStr">
        <is>
          <t>Backup / disaster recovery</t>
        </is>
      </c>
      <c r="B11" s="87" t="n">
        <v>100</v>
      </c>
      <c r="C11" s="87" t="n">
        <v>75</v>
      </c>
      <c r="D11" s="87" t="n">
        <v>25</v>
      </c>
      <c r="E11" s="88">
        <f>B11*12</f>
        <v/>
      </c>
      <c r="F11" s="88">
        <f>C11*12</f>
        <v/>
      </c>
      <c r="G11" s="88">
        <f>D11*12</f>
        <v/>
      </c>
      <c r="H11" s="79" t="inlineStr">
        <is>
          <t>Record protection</t>
        </is>
      </c>
      <c r="I11" s="79" t="inlineStr">
        <is>
          <t>Covers encrypted backups and restore testing</t>
        </is>
      </c>
    </row>
    <row r="12">
      <c r="A12" s="79" t="inlineStr">
        <is>
          <t>Domain / DNS / registry licenses</t>
        </is>
      </c>
      <c r="B12" s="87" t="n">
        <v>15</v>
      </c>
      <c r="C12" s="87" t="n">
        <v>15</v>
      </c>
      <c r="D12" s="87" t="n">
        <v>10</v>
      </c>
      <c r="E12" s="88">
        <f>B12*12</f>
        <v/>
      </c>
      <c r="F12" s="88">
        <f>C12*12</f>
        <v/>
      </c>
      <c r="G12" s="88">
        <f>D12*12</f>
        <v/>
      </c>
      <c r="H12" s="79" t="inlineStr">
        <is>
          <t>Domain, DNS, security</t>
        </is>
      </c>
      <c r="I12" s="79" t="inlineStr">
        <is>
          <t>Include .ca domain, DNS, SSL/security overhead</t>
        </is>
      </c>
    </row>
    <row r="13">
      <c r="A13" s="79" t="inlineStr">
        <is>
          <t>Business email / productivity</t>
        </is>
      </c>
      <c r="B13" s="87" t="n">
        <v>75</v>
      </c>
      <c r="C13" s="87" t="n">
        <v>50</v>
      </c>
      <c r="D13" s="87" t="n">
        <v>15</v>
      </c>
      <c r="E13" s="88">
        <f>B13*12</f>
        <v/>
      </c>
      <c r="F13" s="88">
        <f>C13*12</f>
        <v/>
      </c>
      <c r="G13" s="88">
        <f>D13*12</f>
        <v/>
      </c>
      <c r="H13" s="79" t="inlineStr">
        <is>
          <t>Secure email/admin</t>
        </is>
      </c>
      <c r="I13" s="79" t="inlineStr">
        <is>
          <t>Based on small team accounts; solo has one account</t>
        </is>
      </c>
    </row>
    <row r="14">
      <c r="A14" s="79" t="inlineStr">
        <is>
          <t>Consent / policy templates</t>
        </is>
      </c>
      <c r="B14" s="87" t="n">
        <v>100</v>
      </c>
      <c r="C14" s="87" t="n">
        <v>50</v>
      </c>
      <c r="D14" s="87" t="n">
        <v>15</v>
      </c>
      <c r="E14" s="88">
        <f>B14*12</f>
        <v/>
      </c>
      <c r="F14" s="88">
        <f>C14*12</f>
        <v/>
      </c>
      <c r="G14" s="88">
        <f>D14*12</f>
        <v/>
      </c>
      <c r="H14" s="79" t="inlineStr">
        <is>
          <t>Intake and privacy documentation</t>
        </is>
      </c>
      <c r="I14" s="79" t="inlineStr">
        <is>
          <t>Includes annual policy refresh allocation</t>
        </is>
      </c>
    </row>
    <row r="15">
      <c r="A15" s="79" t="inlineStr">
        <is>
          <t>Professional registry verification</t>
        </is>
      </c>
      <c r="B15" s="87" t="n">
        <v>50</v>
      </c>
      <c r="C15" s="87" t="n">
        <v>50</v>
      </c>
      <c r="D15" s="87" t="n">
        <v>0</v>
      </c>
      <c r="E15" s="88">
        <f>B15*12</f>
        <v/>
      </c>
      <c r="F15" s="88">
        <f>C15*12</f>
        <v/>
      </c>
      <c r="G15" s="88">
        <f>D15*12</f>
        <v/>
      </c>
      <c r="H15" s="79" t="inlineStr">
        <is>
          <t>Therapist credential verification</t>
        </is>
      </c>
      <c r="I15" s="79" t="inlineStr">
        <is>
          <t>Platform verifies therapist licenses; solo already manages own license</t>
        </is>
      </c>
    </row>
    <row r="16">
      <c r="A16" s="79" t="inlineStr">
        <is>
          <t>Advertising — Google search</t>
        </is>
      </c>
      <c r="B16" s="87" t="n">
        <v>1800</v>
      </c>
      <c r="C16" s="87" t="n">
        <v>1200</v>
      </c>
      <c r="D16" s="87" t="n">
        <v>300</v>
      </c>
      <c r="E16" s="88">
        <f>B16*12</f>
        <v/>
      </c>
      <c r="F16" s="88">
        <f>C16*12</f>
        <v/>
      </c>
      <c r="G16" s="88">
        <f>D16*12</f>
        <v/>
      </c>
      <c r="H16" s="79" t="inlineStr">
        <is>
          <t>Paid acquisition</t>
        </is>
      </c>
      <c r="I16" s="79" t="inlineStr">
        <is>
          <t>Higher in Quebec clinic model; solo version uses smaller local/retargeting budget</t>
        </is>
      </c>
    </row>
    <row r="17">
      <c r="A17" s="79" t="inlineStr">
        <is>
          <t>Advertising — directory listings</t>
        </is>
      </c>
      <c r="B17" s="87" t="n">
        <v>250</v>
      </c>
      <c r="C17" s="87" t="n">
        <v>200</v>
      </c>
      <c r="D17" s="87" t="n">
        <v>75</v>
      </c>
      <c r="E17" s="88">
        <f>B17*12</f>
        <v/>
      </c>
      <c r="F17" s="88">
        <f>C17*12</f>
        <v/>
      </c>
      <c r="G17" s="88">
        <f>D17*12</f>
        <v/>
      </c>
      <c r="H17" s="79" t="inlineStr">
        <is>
          <t>Psychology directories</t>
        </is>
      </c>
      <c r="I17" s="79" t="inlineStr">
        <is>
          <t>Psychology Today / therapist directories / local profiles</t>
        </is>
      </c>
    </row>
    <row r="18">
      <c r="A18" s="79" t="inlineStr">
        <is>
          <t>SEO / content / landing pages</t>
        </is>
      </c>
      <c r="B18" s="87" t="n">
        <v>600</v>
      </c>
      <c r="C18" s="87" t="n">
        <v>400</v>
      </c>
      <c r="D18" s="87" t="n">
        <v>100</v>
      </c>
      <c r="E18" s="88">
        <f>B18*12</f>
        <v/>
      </c>
      <c r="F18" s="88">
        <f>C18*12</f>
        <v/>
      </c>
      <c r="G18" s="88">
        <f>D18*12</f>
        <v/>
      </c>
      <c r="H18" s="79" t="inlineStr">
        <is>
          <t>Organic acquisition</t>
        </is>
      </c>
      <c r="I18" s="79" t="inlineStr">
        <is>
          <t>Includes content and local SEO</t>
        </is>
      </c>
    </row>
    <row r="19">
      <c r="A19" s="79" t="inlineStr">
        <is>
          <t>Compliance training</t>
        </is>
      </c>
      <c r="B19" s="87" t="n">
        <v>125</v>
      </c>
      <c r="C19" s="87" t="n">
        <v>75</v>
      </c>
      <c r="D19" s="87" t="n">
        <v>25</v>
      </c>
      <c r="E19" s="88">
        <f>B19*12</f>
        <v/>
      </c>
      <c r="F19" s="88">
        <f>C19*12</f>
        <v/>
      </c>
      <c r="G19" s="88">
        <f>D19*12</f>
        <v/>
      </c>
      <c r="H19" s="79" t="inlineStr">
        <is>
          <t>Staff training</t>
        </is>
      </c>
      <c r="I19" s="79" t="inlineStr">
        <is>
          <t>Annual privacy, telehealth, breach-response refresh</t>
        </is>
      </c>
    </row>
    <row r="20">
      <c r="A20" s="79" t="n"/>
      <c r="B20" s="88" t="n"/>
      <c r="C20" s="88" t="n"/>
      <c r="D20" s="88" t="n"/>
      <c r="E20" s="88" t="n"/>
      <c r="F20" s="88" t="n"/>
      <c r="G20" s="88" t="n"/>
      <c r="H20" s="79" t="n"/>
      <c r="I20" s="79" t="n"/>
    </row>
    <row r="21">
      <c r="A21" s="79" t="inlineStr">
        <is>
          <t>Total monthly</t>
        </is>
      </c>
      <c r="B21" s="89">
        <f>SUM(B4:B19)</f>
        <v/>
      </c>
      <c r="C21" s="89">
        <f>SUM(C4:C19)</f>
        <v/>
      </c>
      <c r="D21" s="89">
        <f>SUM(D4:D19)</f>
        <v/>
      </c>
      <c r="E21" s="89">
        <f>SUM(E4:E19)</f>
        <v/>
      </c>
      <c r="F21" s="89">
        <f>SUM(F4:F19)</f>
        <v/>
      </c>
      <c r="G21" s="89">
        <f>SUM(G4:G19)</f>
        <v/>
      </c>
      <c r="H21" s="79" t="inlineStr">
        <is>
          <t>Total</t>
        </is>
      </c>
      <c r="I21" s="79" t="inlineStr">
        <is>
          <t>Feeds jurisdiction model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>
      <c r="A1" s="77" t="inlineStr">
        <is>
          <t>GOVERNANCE CHECKLIST — VIRTUAL PSYCHOLOGY PLATFORM</t>
        </is>
      </c>
    </row>
    <row r="3">
      <c r="A3" s="78" t="inlineStr">
        <is>
          <t>Control</t>
        </is>
      </c>
      <c r="B3" s="78" t="inlineStr">
        <is>
          <t>Quebec</t>
        </is>
      </c>
      <c r="C3" s="78" t="inlineStr">
        <is>
          <t>Alberta Clinic</t>
        </is>
      </c>
      <c r="D3" s="78" t="inlineStr">
        <is>
          <t>Alberta Solo</t>
        </is>
      </c>
      <c r="E3" s="78" t="inlineStr">
        <is>
          <t>Owner</t>
        </is>
      </c>
      <c r="F3" s="78" t="inlineStr">
        <is>
          <t>Frequency</t>
        </is>
      </c>
      <c r="G3" s="78" t="inlineStr">
        <is>
          <t>Evidence</t>
        </is>
      </c>
    </row>
    <row r="4">
      <c r="A4" s="79" t="inlineStr">
        <is>
          <t>Privacy policy</t>
        </is>
      </c>
      <c r="B4" s="79" t="inlineStr">
        <is>
          <t>Required</t>
        </is>
      </c>
      <c r="C4" s="79" t="inlineStr">
        <is>
          <t>Required</t>
        </is>
      </c>
      <c r="D4" s="79" t="inlineStr">
        <is>
          <t>Required</t>
        </is>
      </c>
      <c r="E4" s="79" t="inlineStr">
        <is>
          <t>Admin / Legal</t>
        </is>
      </c>
      <c r="F4" s="79" t="inlineStr">
        <is>
          <t>Annual</t>
        </is>
      </c>
      <c r="G4" s="79" t="inlineStr">
        <is>
          <t>Published policy and version history</t>
        </is>
      </c>
    </row>
    <row r="5">
      <c r="A5" s="79" t="inlineStr">
        <is>
          <t>Telehealth informed consent</t>
        </is>
      </c>
      <c r="B5" s="79" t="inlineStr">
        <is>
          <t>Required</t>
        </is>
      </c>
      <c r="C5" s="79" t="inlineStr">
        <is>
          <t>Required</t>
        </is>
      </c>
      <c r="D5" s="79" t="inlineStr">
        <is>
          <t>Required</t>
        </is>
      </c>
      <c r="E5" s="79" t="inlineStr">
        <is>
          <t>Therapist</t>
        </is>
      </c>
      <c r="F5" s="79" t="inlineStr">
        <is>
          <t>Intake and changes</t>
        </is>
      </c>
      <c r="G5" s="79" t="inlineStr">
        <is>
          <t>Signed consent</t>
        </is>
      </c>
    </row>
    <row r="6">
      <c r="A6" s="79" t="inlineStr">
        <is>
          <t>Privacy impact assessment</t>
        </is>
      </c>
      <c r="B6" s="79" t="inlineStr">
        <is>
          <t>Required for new/overhauled systems</t>
        </is>
      </c>
      <c r="C6" s="79" t="inlineStr">
        <is>
          <t>Recommended for major changes</t>
        </is>
      </c>
      <c r="D6" s="79" t="inlineStr">
        <is>
          <t>Optional/light review</t>
        </is>
      </c>
      <c r="E6" s="79" t="inlineStr">
        <is>
          <t>Privacy lead</t>
        </is>
      </c>
      <c r="F6" s="79" t="inlineStr">
        <is>
          <t>Launch and major changes</t>
        </is>
      </c>
      <c r="G6" s="79" t="inlineStr">
        <is>
          <t>PIA or risk review document</t>
        </is>
      </c>
    </row>
    <row r="7">
      <c r="A7" s="79" t="inlineStr">
        <is>
          <t>Breach response procedure</t>
        </is>
      </c>
      <c r="B7" s="79" t="inlineStr">
        <is>
          <t>Required</t>
        </is>
      </c>
      <c r="C7" s="79" t="inlineStr">
        <is>
          <t>Required</t>
        </is>
      </c>
      <c r="D7" s="79" t="inlineStr">
        <is>
          <t>Required</t>
        </is>
      </c>
      <c r="E7" s="79" t="inlineStr">
        <is>
          <t>Privacy lead</t>
        </is>
      </c>
      <c r="F7" s="79" t="inlineStr">
        <is>
          <t>Annual test</t>
        </is>
      </c>
      <c r="G7" s="79" t="inlineStr">
        <is>
          <t>Incident playbook</t>
        </is>
      </c>
    </row>
    <row r="8">
      <c r="A8" s="79" t="inlineStr">
        <is>
          <t>Incident register</t>
        </is>
      </c>
      <c r="B8" s="79" t="inlineStr">
        <is>
          <t>Required/formal</t>
        </is>
      </c>
      <c r="C8" s="79" t="inlineStr">
        <is>
          <t>Required/practical</t>
        </is>
      </c>
      <c r="D8" s="79" t="inlineStr">
        <is>
          <t>Lightweight</t>
        </is>
      </c>
      <c r="E8" s="79" t="inlineStr">
        <is>
          <t>Admin</t>
        </is>
      </c>
      <c r="F8" s="79" t="inlineStr">
        <is>
          <t>Ongoing</t>
        </is>
      </c>
      <c r="G8" s="79" t="inlineStr">
        <is>
          <t>Incident log</t>
        </is>
      </c>
    </row>
    <row r="9">
      <c r="A9" s="79" t="inlineStr">
        <is>
          <t>Vendor review</t>
        </is>
      </c>
      <c r="B9" s="79" t="inlineStr">
        <is>
          <t>Required/high scrutiny</t>
        </is>
      </c>
      <c r="C9" s="79" t="inlineStr">
        <is>
          <t>Required/reasonable</t>
        </is>
      </c>
      <c r="D9" s="79" t="inlineStr">
        <is>
          <t>Basic</t>
        </is>
      </c>
      <c r="E9" s="79" t="inlineStr">
        <is>
          <t>Operations</t>
        </is>
      </c>
      <c r="F9" s="79" t="inlineStr">
        <is>
          <t>Annual</t>
        </is>
      </c>
      <c r="G9" s="79" t="inlineStr">
        <is>
          <t>Vendor checklist</t>
        </is>
      </c>
    </row>
    <row r="10">
      <c r="A10" s="79" t="inlineStr">
        <is>
          <t>Access controls</t>
        </is>
      </c>
      <c r="B10" s="79" t="inlineStr">
        <is>
          <t>Required</t>
        </is>
      </c>
      <c r="C10" s="79" t="inlineStr">
        <is>
          <t>Required</t>
        </is>
      </c>
      <c r="D10" s="79" t="inlineStr">
        <is>
          <t>Required</t>
        </is>
      </c>
      <c r="E10" s="79" t="inlineStr">
        <is>
          <t>Operations</t>
        </is>
      </c>
      <c r="F10" s="79" t="inlineStr">
        <is>
          <t>Quarterly</t>
        </is>
      </c>
      <c r="G10" s="79" t="inlineStr">
        <is>
          <t>User access export</t>
        </is>
      </c>
    </row>
    <row r="11">
      <c r="A11" s="79" t="inlineStr">
        <is>
          <t>Audit logs</t>
        </is>
      </c>
      <c r="B11" s="79" t="inlineStr">
        <is>
          <t>Required/high priority</t>
        </is>
      </c>
      <c r="C11" s="79" t="inlineStr">
        <is>
          <t>Required/reasonable</t>
        </is>
      </c>
      <c r="D11" s="79" t="inlineStr">
        <is>
          <t>Basic</t>
        </is>
      </c>
      <c r="E11" s="79" t="inlineStr">
        <is>
          <t>Operations</t>
        </is>
      </c>
      <c r="F11" s="79" t="inlineStr">
        <is>
          <t>Quarterly</t>
        </is>
      </c>
      <c r="G11" s="79" t="inlineStr">
        <is>
          <t>Log review</t>
        </is>
      </c>
    </row>
    <row r="12">
      <c r="A12" s="79" t="inlineStr">
        <is>
          <t>Encryption/backups</t>
        </is>
      </c>
      <c r="B12" s="79" t="inlineStr">
        <is>
          <t>Required</t>
        </is>
      </c>
      <c r="C12" s="79" t="inlineStr">
        <is>
          <t>Required</t>
        </is>
      </c>
      <c r="D12" s="79" t="inlineStr">
        <is>
          <t>Required</t>
        </is>
      </c>
      <c r="E12" s="79" t="inlineStr">
        <is>
          <t>Technical owner</t>
        </is>
      </c>
      <c r="F12" s="79" t="inlineStr">
        <is>
          <t>Monthly</t>
        </is>
      </c>
      <c r="G12" s="79" t="inlineStr">
        <is>
          <t>Backup test result</t>
        </is>
      </c>
    </row>
    <row r="13">
      <c r="A13" s="79" t="inlineStr">
        <is>
          <t>Advertising review</t>
        </is>
      </c>
      <c r="B13" s="79" t="inlineStr">
        <is>
          <t>Required</t>
        </is>
      </c>
      <c r="C13" s="79" t="inlineStr">
        <is>
          <t>Required</t>
        </is>
      </c>
      <c r="D13" s="79" t="inlineStr">
        <is>
          <t>Required</t>
        </is>
      </c>
      <c r="E13" s="79" t="inlineStr">
        <is>
          <t>Marketing / Clinical Director</t>
        </is>
      </c>
      <c r="F13" s="79" t="inlineStr">
        <is>
          <t>Before launch</t>
        </is>
      </c>
      <c r="G13" s="79" t="inlineStr">
        <is>
          <t>Approved ad copy</t>
        </is>
      </c>
    </row>
    <row r="14">
      <c r="A14" s="79" t="inlineStr">
        <is>
          <t>Therapist license verification</t>
        </is>
      </c>
      <c r="B14" s="79" t="inlineStr">
        <is>
          <t>Required</t>
        </is>
      </c>
      <c r="C14" s="79" t="inlineStr">
        <is>
          <t>Required</t>
        </is>
      </c>
      <c r="D14" s="79" t="inlineStr">
        <is>
          <t>Therapist-owned</t>
        </is>
      </c>
      <c r="E14" s="79" t="inlineStr">
        <is>
          <t>Admin</t>
        </is>
      </c>
      <c r="F14" s="79" t="inlineStr">
        <is>
          <t>Onboarding and annual</t>
        </is>
      </c>
      <c r="G14" s="79" t="inlineStr">
        <is>
          <t>Registry screenshot or record</t>
        </is>
      </c>
    </row>
    <row r="15">
      <c r="A15" s="79" t="inlineStr">
        <is>
          <t>Insurance review</t>
        </is>
      </c>
      <c r="B15" s="79" t="inlineStr">
        <is>
          <t>Clinic + cyber + E&amp;O</t>
        </is>
      </c>
      <c r="C15" s="79" t="inlineStr">
        <is>
          <t>Clinic + cyber + E&amp;O</t>
        </is>
      </c>
      <c r="D15" s="79" t="inlineStr">
        <is>
          <t>Therapist-owned plus platform cyber</t>
        </is>
      </c>
      <c r="E15" s="79" t="inlineStr">
        <is>
          <t>Admin</t>
        </is>
      </c>
      <c r="F15" s="79" t="inlineStr">
        <is>
          <t>Annual</t>
        </is>
      </c>
      <c r="G15" s="79" t="inlineStr">
        <is>
          <t>Certificate of insurance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30" customWidth="1" min="10" max="10"/>
  </cols>
  <sheetData>
    <row r="1">
      <c r="A1" s="77" t="inlineStr">
        <is>
          <t>QUEBEC VIRTUAL PSYCHOLOGY CLINIC — FULL COST STACK</t>
        </is>
      </c>
    </row>
    <row r="3">
      <c r="A3" s="78" t="inlineStr">
        <is>
          <t>Category</t>
        </is>
      </c>
      <c r="B3" s="78" t="inlineStr">
        <is>
          <t>Item</t>
        </is>
      </c>
      <c r="C3" s="78" t="inlineStr">
        <is>
          <t>Description</t>
        </is>
      </c>
      <c r="D3" s="78" t="inlineStr">
        <is>
          <t>Monthly Cost</t>
        </is>
      </c>
      <c r="E3" s="78" t="inlineStr">
        <is>
          <t>Annual Cost</t>
        </is>
      </c>
      <c r="F3" s="78" t="inlineStr">
        <is>
          <t>Mandatory</t>
        </is>
      </c>
      <c r="G3" s="78" t="inlineStr">
        <is>
          <t>Owner</t>
        </is>
      </c>
      <c r="H3" s="78" t="inlineStr">
        <is>
          <t>Frequency</t>
        </is>
      </c>
      <c r="I3" s="78" t="inlineStr">
        <is>
          <t>Vendor Type</t>
        </is>
      </c>
      <c r="J3" s="78" t="inlineStr">
        <is>
          <t>Notes</t>
        </is>
      </c>
    </row>
    <row r="4">
      <c r="A4" s="79" t="inlineStr">
        <is>
          <t>Software</t>
        </is>
      </c>
      <c r="B4" s="79" t="inlineStr">
        <is>
          <t>Jane App (Practice/Thrive)</t>
        </is>
      </c>
      <c r="C4" s="79" t="inlineStr">
        <is>
          <t>Scheduling, charting, telehealth</t>
        </is>
      </c>
      <c r="D4" s="88" t="n">
        <v>99</v>
      </c>
      <c r="E4" s="88">
        <f>D4*12</f>
        <v/>
      </c>
      <c r="F4" s="79" t="b">
        <v>1</v>
      </c>
      <c r="G4" s="79" t="inlineStr">
        <is>
          <t>Ops</t>
        </is>
      </c>
      <c r="H4" s="79" t="inlineStr">
        <is>
          <t>Monthly</t>
        </is>
      </c>
      <c r="I4" s="79" t="inlineStr">
        <is>
          <t>SaaS</t>
        </is>
      </c>
      <c r="J4" s="79" t="inlineStr">
        <is>
          <t>Core system</t>
        </is>
      </c>
    </row>
    <row r="5">
      <c r="A5" s="79" t="inlineStr">
        <is>
          <t>Software</t>
        </is>
      </c>
      <c r="B5" s="79" t="inlineStr">
        <is>
          <t>Communications plugin</t>
        </is>
      </c>
      <c r="C5" s="79" t="inlineStr">
        <is>
          <t>Email + SMS reminders</t>
        </is>
      </c>
      <c r="D5" s="88" t="n">
        <v>75</v>
      </c>
      <c r="E5" s="88">
        <f>D5*12</f>
        <v/>
      </c>
      <c r="F5" s="79" t="b">
        <v>1</v>
      </c>
      <c r="G5" s="79" t="inlineStr">
        <is>
          <t>Ops</t>
        </is>
      </c>
      <c r="H5" s="79" t="inlineStr">
        <is>
          <t>Monthly</t>
        </is>
      </c>
      <c r="I5" s="79" t="inlineStr">
        <is>
          <t>SaaS</t>
        </is>
      </c>
      <c r="J5" s="79" t="inlineStr">
        <is>
          <t>Includes SMS volume</t>
        </is>
      </c>
    </row>
    <row r="6">
      <c r="A6" s="79" t="inlineStr">
        <is>
          <t>Software</t>
        </is>
      </c>
      <c r="B6" s="79" t="inlineStr">
        <is>
          <t>Tablet note system</t>
        </is>
      </c>
      <c r="C6" s="79" t="inlineStr">
        <is>
          <t>Secure note-taking + AI review</t>
        </is>
      </c>
      <c r="D6" s="88" t="n">
        <v>120</v>
      </c>
      <c r="E6" s="88">
        <f>D6*12</f>
        <v/>
      </c>
      <c r="F6" s="79" t="b">
        <v>1</v>
      </c>
      <c r="G6" s="79" t="inlineStr">
        <is>
          <t>Clinical</t>
        </is>
      </c>
      <c r="H6" s="79" t="inlineStr">
        <is>
          <t>Monthly</t>
        </is>
      </c>
      <c r="I6" s="79" t="inlineStr">
        <is>
          <t>SaaS</t>
        </is>
      </c>
      <c r="J6" s="79" t="inlineStr">
        <is>
          <t>Per therapist scaling</t>
        </is>
      </c>
    </row>
    <row r="7">
      <c r="A7" s="79" t="inlineStr">
        <is>
          <t>Software</t>
        </is>
      </c>
      <c r="B7" s="79" t="inlineStr">
        <is>
          <t>Patient app (MVP)</t>
        </is>
      </c>
      <c r="C7" s="79" t="inlineStr">
        <is>
          <t>Journal + reminders + mood tracking</t>
        </is>
      </c>
      <c r="D7" s="88" t="n">
        <v>150</v>
      </c>
      <c r="E7" s="88">
        <f>D7*12</f>
        <v/>
      </c>
      <c r="F7" s="79" t="b">
        <v>0</v>
      </c>
      <c r="G7" s="79" t="inlineStr">
        <is>
          <t>Product</t>
        </is>
      </c>
      <c r="H7" s="79" t="inlineStr">
        <is>
          <t>Monthly</t>
        </is>
      </c>
      <c r="I7" s="79" t="inlineStr">
        <is>
          <t>SaaS</t>
        </is>
      </c>
      <c r="J7" s="79" t="inlineStr">
        <is>
          <t>Phase 2+</t>
        </is>
      </c>
    </row>
    <row r="8">
      <c r="A8" s="79" t="inlineStr">
        <is>
          <t>Telecom</t>
        </is>
      </c>
      <c r="B8" s="79" t="inlineStr">
        <is>
          <t>Business phone line (VoIP)</t>
        </is>
      </c>
      <c r="C8" s="79" t="inlineStr">
        <is>
          <t>Clinic number</t>
        </is>
      </c>
      <c r="D8" s="88" t="n">
        <v>45</v>
      </c>
      <c r="E8" s="88">
        <f>D8*12</f>
        <v/>
      </c>
      <c r="F8" s="79" t="b">
        <v>1</v>
      </c>
      <c r="G8" s="79" t="inlineStr">
        <is>
          <t>Ops</t>
        </is>
      </c>
      <c r="H8" s="79" t="inlineStr">
        <is>
          <t>Monthly</t>
        </is>
      </c>
      <c r="I8" s="79" t="inlineStr">
        <is>
          <t>SaaS</t>
        </is>
      </c>
      <c r="J8" s="79" t="inlineStr">
        <is>
          <t>e.g. VoIP provider</t>
        </is>
      </c>
    </row>
    <row r="9">
      <c r="A9" s="79" t="inlineStr">
        <is>
          <t>Telecom</t>
        </is>
      </c>
      <c r="B9" s="79" t="inlineStr">
        <is>
          <t>Call forwarding / routing</t>
        </is>
      </c>
      <c r="C9" s="79" t="inlineStr">
        <is>
          <t>Routing + voicemail</t>
        </is>
      </c>
      <c r="D9" s="88" t="n">
        <v>25</v>
      </c>
      <c r="E9" s="88">
        <f>D9*12</f>
        <v/>
      </c>
      <c r="F9" s="79" t="b">
        <v>1</v>
      </c>
      <c r="G9" s="79" t="inlineStr">
        <is>
          <t>Ops</t>
        </is>
      </c>
      <c r="H9" s="79" t="inlineStr">
        <is>
          <t>Monthly</t>
        </is>
      </c>
      <c r="I9" s="79" t="inlineStr">
        <is>
          <t>SaaS</t>
        </is>
      </c>
      <c r="J9" s="79" t="inlineStr">
        <is>
          <t>Intake routing</t>
        </is>
      </c>
    </row>
    <row r="10">
      <c r="A10" s="79" t="inlineStr">
        <is>
          <t>Telecom</t>
        </is>
      </c>
      <c r="B10" s="79" t="inlineStr">
        <is>
          <t>SMS usage</t>
        </is>
      </c>
      <c r="C10" s="79" t="inlineStr">
        <is>
          <t>Reminder SMS</t>
        </is>
      </c>
      <c r="D10" s="88" t="n">
        <v>80</v>
      </c>
      <c r="E10" s="88">
        <f>D10*12</f>
        <v/>
      </c>
      <c r="F10" s="79" t="b">
        <v>1</v>
      </c>
      <c r="G10" s="79" t="inlineStr">
        <is>
          <t>Ops</t>
        </is>
      </c>
      <c r="H10" s="79" t="inlineStr">
        <is>
          <t>Monthly</t>
        </is>
      </c>
      <c r="I10" s="79" t="inlineStr">
        <is>
          <t>Usage</t>
        </is>
      </c>
      <c r="J10" s="79" t="inlineStr">
        <is>
          <t>Based on sessions</t>
        </is>
      </c>
    </row>
    <row r="11">
      <c r="A11" s="79" t="inlineStr">
        <is>
          <t>Telecom</t>
        </is>
      </c>
      <c r="B11" s="79" t="inlineStr">
        <is>
          <t>Secondary line / backup</t>
        </is>
      </c>
      <c r="C11" s="79" t="inlineStr">
        <is>
          <t>Redundancy</t>
        </is>
      </c>
      <c r="D11" s="88" t="n">
        <v>25</v>
      </c>
      <c r="E11" s="88">
        <f>D11*12</f>
        <v/>
      </c>
      <c r="F11" s="79" t="b">
        <v>0</v>
      </c>
      <c r="G11" s="79" t="inlineStr">
        <is>
          <t>Ops</t>
        </is>
      </c>
      <c r="H11" s="79" t="inlineStr">
        <is>
          <t>Monthly</t>
        </is>
      </c>
      <c r="I11" s="79" t="inlineStr">
        <is>
          <t>SaaS</t>
        </is>
      </c>
      <c r="J11" s="79" t="inlineStr">
        <is>
          <t>Optional</t>
        </is>
      </c>
    </row>
    <row r="12">
      <c r="A12" s="79" t="inlineStr">
        <is>
          <t>Compliance</t>
        </is>
      </c>
      <c r="B12" s="79" t="inlineStr">
        <is>
          <t>Privacy legal review</t>
        </is>
      </c>
      <c r="C12" s="79" t="inlineStr">
        <is>
          <t>Law 25 compliance</t>
        </is>
      </c>
      <c r="D12" s="88" t="n">
        <v>350</v>
      </c>
      <c r="E12" s="88">
        <f>D12*12</f>
        <v/>
      </c>
      <c r="F12" s="79" t="b">
        <v>1</v>
      </c>
      <c r="G12" s="79" t="inlineStr">
        <is>
          <t>Legal</t>
        </is>
      </c>
      <c r="H12" s="79" t="inlineStr">
        <is>
          <t>Monthly</t>
        </is>
      </c>
      <c r="I12" s="79" t="inlineStr">
        <is>
          <t>Legal</t>
        </is>
      </c>
      <c r="J12" s="79" t="inlineStr">
        <is>
          <t>External advisor</t>
        </is>
      </c>
    </row>
    <row r="13">
      <c r="A13" s="79" t="inlineStr">
        <is>
          <t>Compliance</t>
        </is>
      </c>
      <c r="B13" s="79" t="inlineStr">
        <is>
          <t>Software audit</t>
        </is>
      </c>
      <c r="C13" s="79" t="inlineStr">
        <is>
          <t>Privacy + access audit</t>
        </is>
      </c>
      <c r="D13" s="88" t="n">
        <v>500</v>
      </c>
      <c r="E13" s="88">
        <f>D13*12</f>
        <v/>
      </c>
      <c r="F13" s="79" t="b">
        <v>1</v>
      </c>
      <c r="G13" s="79" t="inlineStr">
        <is>
          <t>Ops</t>
        </is>
      </c>
      <c r="H13" s="79" t="inlineStr">
        <is>
          <t>Annual amortized</t>
        </is>
      </c>
      <c r="I13" s="79" t="inlineStr">
        <is>
          <t>Audit</t>
        </is>
      </c>
      <c r="J13" s="79" t="inlineStr">
        <is>
          <t>Required</t>
        </is>
      </c>
    </row>
    <row r="14">
      <c r="A14" s="79" t="inlineStr">
        <is>
          <t>Compliance</t>
        </is>
      </c>
      <c r="B14" s="79" t="inlineStr">
        <is>
          <t>Security review</t>
        </is>
      </c>
      <c r="C14" s="79" t="inlineStr">
        <is>
          <t>Basic penetration test</t>
        </is>
      </c>
      <c r="D14" s="88" t="n">
        <v>300</v>
      </c>
      <c r="E14" s="88">
        <f>D14*12</f>
        <v/>
      </c>
      <c r="F14" s="79" t="b">
        <v>1</v>
      </c>
      <c r="G14" s="79" t="inlineStr">
        <is>
          <t>Tech</t>
        </is>
      </c>
      <c r="H14" s="79" t="inlineStr">
        <is>
          <t>Annual amortized</t>
        </is>
      </c>
      <c r="I14" s="79" t="inlineStr">
        <is>
          <t>Security</t>
        </is>
      </c>
      <c r="J14" s="79" t="inlineStr">
        <is>
          <t>Required</t>
        </is>
      </c>
    </row>
    <row r="15">
      <c r="A15" s="79" t="inlineStr">
        <is>
          <t>Compliance</t>
        </is>
      </c>
      <c r="B15" s="79" t="inlineStr">
        <is>
          <t>Policy updates</t>
        </is>
      </c>
      <c r="C15" s="79" t="inlineStr">
        <is>
          <t>Privacy + consent docs</t>
        </is>
      </c>
      <c r="D15" s="88" t="n">
        <v>100</v>
      </c>
      <c r="E15" s="88">
        <f>D15*12</f>
        <v/>
      </c>
      <c r="F15" s="79" t="b">
        <v>1</v>
      </c>
      <c r="G15" s="79" t="inlineStr">
        <is>
          <t>Legal</t>
        </is>
      </c>
      <c r="H15" s="79" t="inlineStr">
        <is>
          <t>Annual amortized</t>
        </is>
      </c>
      <c r="I15" s="79" t="inlineStr">
        <is>
          <t>Legal</t>
        </is>
      </c>
      <c r="J15" s="79" t="inlineStr">
        <is>
          <t>Annual refresh</t>
        </is>
      </c>
    </row>
    <row r="16">
      <c r="A16" s="79" t="inlineStr">
        <is>
          <t>Insurance</t>
        </is>
      </c>
      <c r="B16" s="79" t="inlineStr">
        <is>
          <t>Cyber liability</t>
        </is>
      </c>
      <c r="C16" s="79" t="inlineStr">
        <is>
          <t>Data breach coverage</t>
        </is>
      </c>
      <c r="D16" s="88" t="n">
        <v>125</v>
      </c>
      <c r="E16" s="88">
        <f>D16*12</f>
        <v/>
      </c>
      <c r="F16" s="79" t="b">
        <v>1</v>
      </c>
      <c r="G16" s="79" t="inlineStr">
        <is>
          <t>Admin</t>
        </is>
      </c>
      <c r="H16" s="79" t="inlineStr">
        <is>
          <t>Monthly</t>
        </is>
      </c>
      <c r="I16" s="79" t="inlineStr">
        <is>
          <t>Insurance</t>
        </is>
      </c>
      <c r="J16" s="79" t="inlineStr">
        <is>
          <t>Required</t>
        </is>
      </c>
    </row>
    <row r="17">
      <c r="A17" s="79" t="inlineStr">
        <is>
          <t>Insurance</t>
        </is>
      </c>
      <c r="B17" s="79" t="inlineStr">
        <is>
          <t>Professional liability</t>
        </is>
      </c>
      <c r="C17" s="79" t="inlineStr">
        <is>
          <t>Clinic coverage</t>
        </is>
      </c>
      <c r="D17" s="88" t="n">
        <v>250</v>
      </c>
      <c r="E17" s="88">
        <f>D17*12</f>
        <v/>
      </c>
      <c r="F17" s="79" t="b">
        <v>1</v>
      </c>
      <c r="G17" s="79" t="inlineStr">
        <is>
          <t>Admin</t>
        </is>
      </c>
      <c r="H17" s="79" t="inlineStr">
        <is>
          <t>Monthly</t>
        </is>
      </c>
      <c r="I17" s="79" t="inlineStr">
        <is>
          <t>Insurance</t>
        </is>
      </c>
      <c r="J17" s="79" t="inlineStr">
        <is>
          <t>Required</t>
        </is>
      </c>
    </row>
    <row r="18">
      <c r="A18" s="79" t="inlineStr">
        <is>
          <t>Insurance</t>
        </is>
      </c>
      <c r="B18" s="79" t="inlineStr">
        <is>
          <t>General business insurance</t>
        </is>
      </c>
      <c r="C18" s="79" t="inlineStr">
        <is>
          <t>Ops coverage</t>
        </is>
      </c>
      <c r="D18" s="88" t="n">
        <v>85</v>
      </c>
      <c r="E18" s="88">
        <f>D18*12</f>
        <v/>
      </c>
      <c r="F18" s="79" t="b">
        <v>1</v>
      </c>
      <c r="G18" s="79" t="inlineStr">
        <is>
          <t>Admin</t>
        </is>
      </c>
      <c r="H18" s="79" t="inlineStr">
        <is>
          <t>Monthly</t>
        </is>
      </c>
      <c r="I18" s="79" t="inlineStr">
        <is>
          <t>Insurance</t>
        </is>
      </c>
      <c r="J18" s="79" t="inlineStr">
        <is>
          <t>Required</t>
        </is>
      </c>
    </row>
    <row r="19">
      <c r="A19" s="79" t="inlineStr">
        <is>
          <t>Infrastructure</t>
        </is>
      </c>
      <c r="B19" s="79" t="inlineStr">
        <is>
          <t>Cloud hosting</t>
        </is>
      </c>
      <c r="C19" s="79" t="inlineStr">
        <is>
          <t>Website + backend</t>
        </is>
      </c>
      <c r="D19" s="88" t="n">
        <v>250</v>
      </c>
      <c r="E19" s="88">
        <f>D19*12</f>
        <v/>
      </c>
      <c r="F19" s="79" t="b">
        <v>1</v>
      </c>
      <c r="G19" s="79" t="inlineStr">
        <is>
          <t>Tech</t>
        </is>
      </c>
      <c r="H19" s="79" t="inlineStr">
        <is>
          <t>Monthly</t>
        </is>
      </c>
      <c r="I19" s="79" t="inlineStr">
        <is>
          <t>Cloud</t>
        </is>
      </c>
      <c r="J19" s="79" t="inlineStr">
        <is>
          <t>Canadian region preferred</t>
        </is>
      </c>
    </row>
    <row r="20">
      <c r="A20" s="79" t="inlineStr">
        <is>
          <t>Infrastructure</t>
        </is>
      </c>
      <c r="B20" s="79" t="inlineStr">
        <is>
          <t>Backup system</t>
        </is>
      </c>
      <c r="C20" s="79" t="inlineStr">
        <is>
          <t>Secure backups</t>
        </is>
      </c>
      <c r="D20" s="88" t="n">
        <v>100</v>
      </c>
      <c r="E20" s="88">
        <f>D20*12</f>
        <v/>
      </c>
      <c r="F20" s="79" t="b">
        <v>1</v>
      </c>
      <c r="G20" s="79" t="inlineStr">
        <is>
          <t>Tech</t>
        </is>
      </c>
      <c r="H20" s="79" t="inlineStr">
        <is>
          <t>Monthly</t>
        </is>
      </c>
      <c r="I20" s="79" t="inlineStr">
        <is>
          <t>SaaS</t>
        </is>
      </c>
      <c r="J20" s="79" t="inlineStr">
        <is>
          <t>Required</t>
        </is>
      </c>
    </row>
    <row r="21">
      <c r="A21" s="79" t="inlineStr">
        <is>
          <t>Infrastructure</t>
        </is>
      </c>
      <c r="B21" s="79" t="inlineStr">
        <is>
          <t>Domain + DNS</t>
        </is>
      </c>
      <c r="C21" s="79" t="inlineStr">
        <is>
          <t>.ca domain</t>
        </is>
      </c>
      <c r="D21" s="88" t="n">
        <v>15</v>
      </c>
      <c r="E21" s="88">
        <f>D21*12</f>
        <v/>
      </c>
      <c r="F21" s="79" t="b">
        <v>1</v>
      </c>
      <c r="G21" s="79" t="inlineStr">
        <is>
          <t>Tech</t>
        </is>
      </c>
      <c r="H21" s="79" t="inlineStr">
        <is>
          <t>Annual</t>
        </is>
      </c>
      <c r="I21" s="79" t="inlineStr">
        <is>
          <t>Domain</t>
        </is>
      </c>
      <c r="J21" s="79" t="inlineStr">
        <is>
          <t>Required</t>
        </is>
      </c>
    </row>
    <row r="22">
      <c r="A22" s="79" t="inlineStr">
        <is>
          <t>Infrastructure</t>
        </is>
      </c>
      <c r="B22" s="79" t="inlineStr">
        <is>
          <t>Email system</t>
        </is>
      </c>
      <c r="C22" s="79" t="inlineStr">
        <is>
          <t>Secure email</t>
        </is>
      </c>
      <c r="D22" s="88" t="n">
        <v>75</v>
      </c>
      <c r="E22" s="88">
        <f>D22*12</f>
        <v/>
      </c>
      <c r="F22" s="79" t="b">
        <v>1</v>
      </c>
      <c r="G22" s="79" t="inlineStr">
        <is>
          <t>Admin</t>
        </is>
      </c>
      <c r="H22" s="79" t="inlineStr">
        <is>
          <t>Monthly</t>
        </is>
      </c>
      <c r="I22" s="79" t="inlineStr">
        <is>
          <t>SaaS</t>
        </is>
      </c>
      <c r="J22" s="79" t="inlineStr">
        <is>
          <t>Required</t>
        </is>
      </c>
    </row>
    <row r="23">
      <c r="A23" s="79" t="inlineStr">
        <is>
          <t>Marketing</t>
        </is>
      </c>
      <c r="B23" s="79" t="inlineStr">
        <is>
          <t>Google Ads</t>
        </is>
      </c>
      <c r="C23" s="79" t="inlineStr">
        <is>
          <t>Patient acquisition</t>
        </is>
      </c>
      <c r="D23" s="88" t="n">
        <v>1800</v>
      </c>
      <c r="E23" s="88">
        <f>D23*12</f>
        <v/>
      </c>
      <c r="F23" s="79" t="b">
        <v>1</v>
      </c>
      <c r="G23" s="79" t="inlineStr">
        <is>
          <t>Marketing</t>
        </is>
      </c>
      <c r="H23" s="79" t="inlineStr">
        <is>
          <t>Monthly</t>
        </is>
      </c>
      <c r="I23" s="79" t="inlineStr">
        <is>
          <t>Ads</t>
        </is>
      </c>
      <c r="J23" s="79" t="inlineStr">
        <is>
          <t>Core channel</t>
        </is>
      </c>
    </row>
    <row r="24">
      <c r="A24" s="79" t="inlineStr">
        <is>
          <t>Marketing</t>
        </is>
      </c>
      <c r="B24" s="79" t="inlineStr">
        <is>
          <t>Directory listings</t>
        </is>
      </c>
      <c r="C24" s="79" t="inlineStr">
        <is>
          <t>Psychology directories</t>
        </is>
      </c>
      <c r="D24" s="88" t="n">
        <v>250</v>
      </c>
      <c r="E24" s="88">
        <f>D24*12</f>
        <v/>
      </c>
      <c r="F24" s="79" t="b">
        <v>1</v>
      </c>
      <c r="G24" s="79" t="inlineStr">
        <is>
          <t>Marketing</t>
        </is>
      </c>
      <c r="H24" s="79" t="inlineStr">
        <is>
          <t>Monthly</t>
        </is>
      </c>
      <c r="I24" s="79" t="inlineStr">
        <is>
          <t>Listings</t>
        </is>
      </c>
      <c r="J24" s="79" t="inlineStr">
        <is>
          <t>Psychology Today etc.</t>
        </is>
      </c>
    </row>
    <row r="25">
      <c r="A25" s="79" t="inlineStr">
        <is>
          <t>Marketing</t>
        </is>
      </c>
      <c r="B25" s="79" t="inlineStr">
        <is>
          <t>SEO/content</t>
        </is>
      </c>
      <c r="C25" s="79" t="inlineStr">
        <is>
          <t>Organic growth</t>
        </is>
      </c>
      <c r="D25" s="88" t="n">
        <v>600</v>
      </c>
      <c r="E25" s="88">
        <f>D25*12</f>
        <v/>
      </c>
      <c r="F25" s="79" t="b">
        <v>1</v>
      </c>
      <c r="G25" s="79" t="inlineStr">
        <is>
          <t>Marketing</t>
        </is>
      </c>
      <c r="H25" s="79" t="inlineStr">
        <is>
          <t>Monthly</t>
        </is>
      </c>
      <c r="I25" s="79" t="inlineStr">
        <is>
          <t>Content</t>
        </is>
      </c>
      <c r="J25" s="79" t="inlineStr">
        <is>
          <t>Required</t>
        </is>
      </c>
    </row>
    <row r="26">
      <c r="A26" s="79" t="inlineStr">
        <is>
          <t>Operations</t>
        </is>
      </c>
      <c r="B26" s="79" t="inlineStr">
        <is>
          <t>Admin salary</t>
        </is>
      </c>
      <c r="C26" s="79" t="inlineStr">
        <is>
          <t>Virtual admin</t>
        </is>
      </c>
      <c r="D26" s="88" t="n">
        <v>3200</v>
      </c>
      <c r="E26" s="88">
        <f>D26*12</f>
        <v/>
      </c>
      <c r="F26" s="79" t="b">
        <v>1</v>
      </c>
      <c r="G26" s="79" t="inlineStr">
        <is>
          <t>Ops</t>
        </is>
      </c>
      <c r="H26" s="79" t="inlineStr">
        <is>
          <t>Monthly</t>
        </is>
      </c>
      <c r="I26" s="79" t="inlineStr">
        <is>
          <t>Payroll</t>
        </is>
      </c>
      <c r="J26" s="79" t="inlineStr">
        <is>
          <t>Lean setup</t>
        </is>
      </c>
    </row>
    <row r="27">
      <c r="A27" s="79" t="inlineStr">
        <is>
          <t>Operations</t>
        </is>
      </c>
      <c r="B27" s="79" t="inlineStr">
        <is>
          <t>Misc ops</t>
        </is>
      </c>
      <c r="C27" s="79" t="inlineStr">
        <is>
          <t>Tools, subscriptions</t>
        </is>
      </c>
      <c r="D27" s="88" t="n">
        <v>300</v>
      </c>
      <c r="E27" s="88">
        <f>D27*12</f>
        <v/>
      </c>
      <c r="F27" s="79" t="b">
        <v>1</v>
      </c>
      <c r="G27" s="79" t="inlineStr">
        <is>
          <t>Ops</t>
        </is>
      </c>
      <c r="H27" s="79" t="inlineStr">
        <is>
          <t>Monthly</t>
        </is>
      </c>
      <c r="I27" s="79" t="inlineStr">
        <is>
          <t>Mixed</t>
        </is>
      </c>
      <c r="J27" s="79" t="inlineStr">
        <is>
          <t>Buffer</t>
        </is>
      </c>
    </row>
    <row r="28">
      <c r="A28" s="79" t="n"/>
      <c r="B28" s="79" t="n"/>
      <c r="C28" s="79" t="n"/>
      <c r="D28" s="88" t="n"/>
      <c r="E28" s="88" t="n"/>
      <c r="F28" s="79" t="n"/>
      <c r="G28" s="79" t="n"/>
      <c r="H28" s="79" t="n"/>
      <c r="I28" s="79" t="n"/>
      <c r="J28" s="79" t="n"/>
    </row>
    <row r="29">
      <c r="A29" s="79" t="n"/>
      <c r="B29" s="79" t="n"/>
      <c r="C29" s="79" t="n"/>
      <c r="D29" s="88" t="n"/>
      <c r="E29" s="88" t="n"/>
      <c r="F29" s="79" t="n"/>
      <c r="G29" s="79" t="n"/>
      <c r="H29" s="79" t="n"/>
      <c r="I29" s="79" t="n"/>
      <c r="J29" s="79" t="n"/>
    </row>
    <row r="30">
      <c r="A30" s="79" t="n"/>
      <c r="B30" s="79" t="n"/>
      <c r="C30" s="79" t="n"/>
      <c r="D30" s="88" t="n"/>
      <c r="E30" s="88" t="n"/>
      <c r="F30" s="79" t="n"/>
      <c r="G30" s="79" t="n"/>
      <c r="H30" s="79" t="n"/>
      <c r="I30" s="79" t="n"/>
      <c r="J30" s="79" t="n"/>
    </row>
    <row r="31">
      <c r="A31" s="79" t="n"/>
      <c r="B31" s="79" t="n"/>
      <c r="C31" s="79" t="n"/>
      <c r="D31" s="88" t="n"/>
      <c r="E31" s="88" t="n"/>
      <c r="F31" s="79" t="n"/>
      <c r="G31" s="79" t="n"/>
      <c r="H31" s="79" t="n"/>
      <c r="I31" s="79" t="n"/>
      <c r="J31" s="79" t="n"/>
    </row>
    <row r="32">
      <c r="A32" s="79" t="n"/>
      <c r="B32" s="79" t="n"/>
      <c r="C32" s="79" t="n"/>
      <c r="D32" s="88" t="n"/>
      <c r="E32" s="88" t="n"/>
      <c r="F32" s="79" t="n"/>
      <c r="G32" s="79" t="n"/>
      <c r="H32" s="79" t="n"/>
      <c r="I32" s="79" t="n"/>
      <c r="J32" s="79" t="n"/>
    </row>
    <row r="33">
      <c r="A33" s="79" t="n"/>
      <c r="B33" s="79" t="n"/>
      <c r="C33" s="79" t="n"/>
      <c r="D33" s="88" t="n"/>
      <c r="E33" s="88" t="n"/>
      <c r="F33" s="79" t="n"/>
      <c r="G33" s="79" t="n"/>
      <c r="H33" s="79" t="n"/>
      <c r="I33" s="79" t="n"/>
      <c r="J33" s="79" t="n"/>
    </row>
    <row r="34">
      <c r="A34" s="79" t="n"/>
      <c r="B34" s="79" t="n"/>
      <c r="C34" s="79" t="n"/>
      <c r="D34" s="88" t="n"/>
      <c r="E34" s="88" t="n"/>
      <c r="F34" s="79" t="n"/>
      <c r="G34" s="79" t="n"/>
      <c r="H34" s="79" t="n"/>
      <c r="I34" s="79" t="n"/>
      <c r="J34" s="79" t="n"/>
    </row>
    <row r="35">
      <c r="A35" s="79" t="n"/>
      <c r="B35" s="79" t="n"/>
      <c r="C35" s="79" t="n"/>
      <c r="D35" s="88" t="n"/>
      <c r="E35" s="88" t="n"/>
      <c r="F35" s="79" t="n"/>
      <c r="G35" s="79" t="n"/>
      <c r="H35" s="79" t="n"/>
      <c r="I35" s="79" t="n"/>
      <c r="J35" s="79" t="n"/>
    </row>
    <row r="36">
      <c r="A36" s="79" t="n"/>
      <c r="B36" s="79" t="n"/>
      <c r="C36" s="79" t="n"/>
      <c r="D36" s="88" t="n"/>
      <c r="E36" s="88" t="n"/>
      <c r="F36" s="79" t="n"/>
      <c r="G36" s="79" t="n"/>
      <c r="H36" s="79" t="n"/>
      <c r="I36" s="79" t="n"/>
      <c r="J36" s="79" t="n"/>
    </row>
    <row r="37">
      <c r="A37" s="79" t="n"/>
      <c r="B37" s="79" t="n"/>
      <c r="C37" s="79" t="n"/>
      <c r="D37" s="88" t="n"/>
      <c r="E37" s="88" t="n"/>
      <c r="F37" s="79" t="n"/>
      <c r="G37" s="79" t="n"/>
      <c r="H37" s="79" t="n"/>
      <c r="I37" s="79" t="n"/>
      <c r="J37" s="79" t="n"/>
    </row>
    <row r="38">
      <c r="A38" s="79" t="n"/>
      <c r="B38" s="79" t="n"/>
      <c r="C38" s="79" t="n"/>
      <c r="D38" s="88" t="n"/>
      <c r="E38" s="88" t="n"/>
      <c r="F38" s="79" t="n"/>
      <c r="G38" s="79" t="n"/>
      <c r="H38" s="79" t="n"/>
      <c r="I38" s="79" t="n"/>
      <c r="J38" s="79" t="n"/>
    </row>
    <row r="39">
      <c r="A39" s="79" t="n"/>
      <c r="B39" s="79" t="n"/>
      <c r="C39" s="79" t="n"/>
      <c r="D39" s="88" t="n"/>
      <c r="E39" s="88" t="n"/>
      <c r="F39" s="79" t="n"/>
      <c r="G39" s="79" t="n"/>
      <c r="H39" s="79" t="n"/>
      <c r="I39" s="79" t="n"/>
      <c r="J39" s="79" t="n"/>
    </row>
    <row r="40">
      <c r="A40" s="79" t="n"/>
      <c r="B40" s="79" t="n"/>
      <c r="C40" s="79" t="n"/>
      <c r="D40" s="88" t="n"/>
      <c r="E40" s="88" t="n"/>
      <c r="F40" s="79" t="n"/>
      <c r="G40" s="79" t="n"/>
      <c r="H40" s="79" t="n"/>
      <c r="I40" s="79" t="n"/>
      <c r="J40" s="79" t="n"/>
    </row>
    <row r="41">
      <c r="A41" s="79" t="n"/>
      <c r="B41" s="79" t="n"/>
      <c r="C41" s="79" t="n"/>
      <c r="D41" s="88" t="n"/>
      <c r="E41" s="88" t="n"/>
      <c r="F41" s="79" t="n"/>
      <c r="G41" s="79" t="n"/>
      <c r="H41" s="79" t="n"/>
      <c r="I41" s="79" t="n"/>
      <c r="J41" s="79" t="n"/>
    </row>
    <row r="42">
      <c r="A42" s="79" t="n"/>
      <c r="B42" s="79" t="n"/>
      <c r="C42" s="79" t="n"/>
      <c r="D42" s="88" t="n"/>
      <c r="E42" s="88" t="n"/>
      <c r="F42" s="79" t="n"/>
      <c r="G42" s="79" t="n"/>
      <c r="H42" s="79" t="n"/>
      <c r="I42" s="79" t="n"/>
      <c r="J42" s="79" t="n"/>
    </row>
    <row r="43">
      <c r="A43" s="79" t="n"/>
      <c r="B43" s="79" t="n"/>
      <c r="C43" s="79" t="n"/>
      <c r="D43" s="88" t="n"/>
      <c r="E43" s="88" t="n"/>
      <c r="F43" s="79" t="n"/>
      <c r="G43" s="79" t="n"/>
      <c r="H43" s="79" t="n"/>
      <c r="I43" s="79" t="n"/>
      <c r="J43" s="79" t="n"/>
    </row>
    <row r="44">
      <c r="A44" s="79" t="n"/>
      <c r="B44" s="79" t="n"/>
      <c r="C44" s="79" t="n"/>
      <c r="D44" s="88" t="n"/>
      <c r="E44" s="88" t="n"/>
      <c r="F44" s="79" t="n"/>
      <c r="G44" s="79" t="n"/>
      <c r="H44" s="79" t="n"/>
      <c r="I44" s="79" t="n"/>
      <c r="J44" s="79" t="n"/>
    </row>
    <row r="45">
      <c r="A45" s="79" t="n"/>
      <c r="B45" s="79" t="n"/>
      <c r="C45" s="79" t="n"/>
      <c r="D45" s="88" t="n"/>
      <c r="E45" s="88" t="n"/>
      <c r="F45" s="79" t="n"/>
      <c r="G45" s="79" t="n"/>
      <c r="H45" s="79" t="n"/>
      <c r="I45" s="79" t="n"/>
      <c r="J45" s="79" t="n"/>
    </row>
    <row r="46">
      <c r="A46" s="79" t="n"/>
      <c r="B46" s="79" t="n"/>
      <c r="C46" s="79" t="n"/>
      <c r="D46" s="88" t="n"/>
      <c r="E46" s="88" t="n"/>
      <c r="F46" s="79" t="n"/>
      <c r="G46" s="79" t="n"/>
      <c r="H46" s="79" t="n"/>
      <c r="I46" s="79" t="n"/>
      <c r="J46" s="79" t="n"/>
    </row>
    <row r="47">
      <c r="A47" s="79" t="n"/>
      <c r="B47" s="79" t="n"/>
      <c r="C47" s="79" t="n"/>
      <c r="D47" s="88" t="n"/>
      <c r="E47" s="88" t="n"/>
      <c r="F47" s="79" t="n"/>
      <c r="G47" s="79" t="n"/>
      <c r="H47" s="79" t="n"/>
      <c r="I47" s="79" t="n"/>
      <c r="J47" s="79" t="n"/>
    </row>
    <row r="48">
      <c r="A48" s="79" t="n"/>
      <c r="B48" s="79" t="n"/>
      <c r="C48" s="79" t="n"/>
      <c r="D48" s="88" t="n"/>
      <c r="E48" s="88" t="n"/>
      <c r="F48" s="79" t="n"/>
      <c r="G48" s="79" t="n"/>
      <c r="H48" s="79" t="n"/>
      <c r="I48" s="79" t="n"/>
      <c r="J48" s="79" t="n"/>
    </row>
    <row r="49">
      <c r="A49" s="79" t="n"/>
      <c r="B49" s="79" t="n"/>
      <c r="C49" s="79" t="n"/>
      <c r="D49" s="88" t="n"/>
      <c r="E49" s="88" t="n"/>
      <c r="F49" s="79" t="n"/>
      <c r="G49" s="79" t="n"/>
      <c r="H49" s="79" t="n"/>
      <c r="I49" s="79" t="n"/>
      <c r="J49" s="79" t="n"/>
    </row>
    <row r="50">
      <c r="A50" s="90" t="inlineStr">
        <is>
          <t>TOTAL MONTHLY</t>
        </is>
      </c>
      <c r="B50" s="79" t="n"/>
      <c r="C50" s="79" t="n"/>
      <c r="D50" s="89">
        <f>SUM(D4:D49)</f>
        <v/>
      </c>
      <c r="E50" s="88" t="n"/>
      <c r="F50" s="79" t="n"/>
      <c r="G50" s="79" t="n"/>
      <c r="H50" s="79" t="n"/>
      <c r="I50" s="79" t="n"/>
      <c r="J50" s="79" t="n"/>
    </row>
    <row r="51">
      <c r="A51" s="90" t="inlineStr">
        <is>
          <t>TOTAL ANNUAL</t>
        </is>
      </c>
      <c r="B51" s="79" t="n"/>
      <c r="C51" s="79" t="n"/>
      <c r="D51" s="88" t="n"/>
      <c r="E51" s="89">
        <f>SUM(E4:E49)</f>
        <v/>
      </c>
      <c r="F51" s="79" t="n"/>
      <c r="G51" s="79" t="n"/>
      <c r="H51" s="79" t="n"/>
      <c r="I51" s="79" t="n"/>
      <c r="J51" s="79" t="n"/>
    </row>
  </sheetData>
  <mergeCells count="1">
    <mergeCell ref="A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91" t="inlineStr">
        <is>
          <t>CONTRACT STRUCTURE — QUEBEC VIRTUAL CLINIC</t>
        </is>
      </c>
    </row>
    <row r="2">
      <c r="A2" s="72" t="n"/>
    </row>
    <row r="3">
      <c r="A3" s="85" t="inlineStr">
        <is>
          <t>Therapist Agreement — Key Clauses</t>
        </is>
      </c>
    </row>
    <row r="4">
      <c r="A4" s="72" t="inlineStr">
        <is>
          <t>- Independent contractor vs employee status</t>
        </is>
      </c>
    </row>
    <row r="5">
      <c r="A5" s="72" t="inlineStr">
        <is>
          <t>- Revenue split (e.g. 65/35)</t>
        </is>
      </c>
    </row>
    <row r="6">
      <c r="A6" s="72" t="inlineStr">
        <is>
          <t>- Confidentiality obligation</t>
        </is>
      </c>
    </row>
    <row r="7">
      <c r="A7" s="72" t="inlineStr">
        <is>
          <t>- Use of clinic systems (Jane, messaging)</t>
        </is>
      </c>
    </row>
    <row r="8">
      <c r="A8" s="72" t="inlineStr">
        <is>
          <t>- Record ownership and access rules</t>
        </is>
      </c>
    </row>
    <row r="9">
      <c r="A9" s="72" t="inlineStr">
        <is>
          <t>- Telehealth compliance and consent</t>
        </is>
      </c>
    </row>
    <row r="10">
      <c r="A10" s="72" t="inlineStr">
        <is>
          <t>- Insurance requirement (therapist must carry liability)</t>
        </is>
      </c>
    </row>
    <row r="11">
      <c r="A11" s="72" t="inlineStr">
        <is>
          <t>- Cancellation policy enforcement</t>
        </is>
      </c>
    </row>
    <row r="12">
      <c r="A12" s="72" t="inlineStr">
        <is>
          <t>- Non-solicitation (limited, reasonable)</t>
        </is>
      </c>
    </row>
    <row r="13">
      <c r="A13" s="72" t="inlineStr">
        <is>
          <t>- Termination clause</t>
        </is>
      </c>
    </row>
    <row r="14">
      <c r="A14" s="72" t="n"/>
    </row>
    <row r="15">
      <c r="A15" s="85" t="inlineStr">
        <is>
          <t>Admin Agreement — Key Clauses</t>
        </is>
      </c>
    </row>
    <row r="16">
      <c r="A16" s="72" t="inlineStr">
        <is>
          <t>- Confidentiality and data access limits</t>
        </is>
      </c>
    </row>
    <row r="17">
      <c r="A17" s="72" t="inlineStr">
        <is>
          <t>- No access to clinical content beyond required</t>
        </is>
      </c>
    </row>
    <row r="18">
      <c r="A18" s="72" t="inlineStr">
        <is>
          <t>- Breach reporting obligation</t>
        </is>
      </c>
    </row>
    <row r="19">
      <c r="A19" s="72" t="inlineStr">
        <is>
          <t>- System usage policy</t>
        </is>
      </c>
    </row>
    <row r="20">
      <c r="A20" s="72" t="inlineStr">
        <is>
          <t>- Communication protocol with patients</t>
        </is>
      </c>
    </row>
    <row r="21">
      <c r="A21" s="72" t="inlineStr">
        <is>
          <t>- Employment vs contractor classification</t>
        </is>
      </c>
    </row>
    <row r="22">
      <c r="A22" s="72" t="n"/>
    </row>
    <row r="23">
      <c r="A23" s="72" t="n"/>
    </row>
    <row r="24">
      <c r="A24" s="72" t="n"/>
    </row>
    <row r="25">
      <c r="A25" s="72" t="n"/>
    </row>
    <row r="26">
      <c r="A26" s="72" t="n"/>
    </row>
    <row r="27">
      <c r="A27" s="85" t="inlineStr">
        <is>
          <t>Patient Terms &amp; Consent</t>
        </is>
      </c>
    </row>
    <row r="28">
      <c r="A28" s="72" t="inlineStr">
        <is>
          <t>- Telehealth consent (risks, limitations)</t>
        </is>
      </c>
    </row>
    <row r="29">
      <c r="A29" s="72" t="inlineStr">
        <is>
          <t>- Privacy and data usage</t>
        </is>
      </c>
    </row>
    <row r="30">
      <c r="A30" s="72" t="inlineStr">
        <is>
          <t>- Session recording policy (usually no recording)</t>
        </is>
      </c>
    </row>
    <row r="31">
      <c r="A31" s="72" t="inlineStr">
        <is>
          <t>- Emergency limitations (not crisis service)</t>
        </is>
      </c>
    </row>
    <row r="32">
      <c r="A32" s="72" t="inlineStr">
        <is>
          <t>- Cancellation policy</t>
        </is>
      </c>
    </row>
    <row r="33">
      <c r="A33" s="72" t="inlineStr">
        <is>
          <t>- Payment terms</t>
        </is>
      </c>
    </row>
    <row r="34">
      <c r="A34" s="72" t="inlineStr">
        <is>
          <t>- Communication boundaries (email/SMS)</t>
        </is>
      </c>
    </row>
    <row r="35">
      <c r="A35" s="72" t="inlineStr">
        <is>
          <t>- Data sharing (journal optional sharing)</t>
        </is>
      </c>
    </row>
    <row r="36">
      <c r="A36" s="72" t="n"/>
    </row>
    <row r="37">
      <c r="A37" s="72" t="n"/>
    </row>
    <row r="38">
      <c r="A38" s="72" t="n"/>
    </row>
    <row r="39">
      <c r="A39" s="72" t="n"/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91" t="inlineStr">
        <is>
          <t>PATIENT INTAKE &amp; FORMS</t>
        </is>
      </c>
    </row>
    <row r="2">
      <c r="A2" s="72" t="n"/>
    </row>
    <row r="3">
      <c r="A3" s="85" t="inlineStr">
        <is>
          <t>CORE INTAKE</t>
        </is>
      </c>
    </row>
    <row r="4">
      <c r="A4" s="72" t="inlineStr">
        <is>
          <t>- Full name</t>
        </is>
      </c>
    </row>
    <row r="5">
      <c r="A5" s="72" t="inlineStr">
        <is>
          <t>- Date of birth</t>
        </is>
      </c>
    </row>
    <row r="6">
      <c r="A6" s="72" t="inlineStr">
        <is>
          <t>- Address</t>
        </is>
      </c>
    </row>
    <row r="7">
      <c r="A7" s="72" t="inlineStr">
        <is>
          <t>- Email</t>
        </is>
      </c>
    </row>
    <row r="8">
      <c r="A8" s="72" t="inlineStr">
        <is>
          <t>- Phone</t>
        </is>
      </c>
    </row>
    <row r="9">
      <c r="A9" s="72" t="inlineStr">
        <is>
          <t>- Emergency contact</t>
        </is>
      </c>
    </row>
    <row r="10">
      <c r="A10" s="72" t="inlineStr">
        <is>
          <t>- Current medications</t>
        </is>
      </c>
    </row>
    <row r="11">
      <c r="A11" s="72" t="inlineStr">
        <is>
          <t>- Current conditions</t>
        </is>
      </c>
    </row>
    <row r="12">
      <c r="A12" s="72" t="inlineStr">
        <is>
          <t>- Therapy goals</t>
        </is>
      </c>
    </row>
    <row r="13">
      <c r="A13" s="72" t="inlineStr">
        <is>
          <t>- Previous therapy history</t>
        </is>
      </c>
    </row>
    <row r="14">
      <c r="A14" s="72" t="inlineStr">
        <is>
          <t>- Risk screening (self-harm, crisis)</t>
        </is>
      </c>
    </row>
    <row r="15">
      <c r="A15" s="72" t="n"/>
    </row>
    <row r="16">
      <c r="A16" s="85" t="inlineStr">
        <is>
          <t>CONSENT FORMS</t>
        </is>
      </c>
    </row>
    <row r="17">
      <c r="A17" s="72" t="inlineStr">
        <is>
          <t>- Telehealth consent</t>
        </is>
      </c>
    </row>
    <row r="18">
      <c r="A18" s="72" t="inlineStr">
        <is>
          <t>- Privacy consent (Law 25 aligned)</t>
        </is>
      </c>
    </row>
    <row r="19">
      <c r="A19" s="72" t="inlineStr">
        <is>
          <t>- Communication consent (email/SMS)</t>
        </is>
      </c>
    </row>
    <row r="20">
      <c r="A20" s="72" t="inlineStr">
        <is>
          <t>- Journal sharing consent</t>
        </is>
      </c>
    </row>
    <row r="21">
      <c r="A21" s="72" t="inlineStr">
        <is>
          <t>- AI-assisted tools consent (if applicable)</t>
        </is>
      </c>
    </row>
    <row r="22">
      <c r="A22" s="72" t="n"/>
    </row>
    <row r="23">
      <c r="A23" s="72" t="n"/>
    </row>
    <row r="24">
      <c r="A24" s="85" t="inlineStr">
        <is>
          <t>ASSESSMENTS</t>
        </is>
      </c>
    </row>
    <row r="25">
      <c r="A25" s="72" t="inlineStr">
        <is>
          <t>- Mood scale (1–10)</t>
        </is>
      </c>
    </row>
    <row r="26">
      <c r="A26" s="72" t="inlineStr">
        <is>
          <t>- Anxiety scale</t>
        </is>
      </c>
    </row>
    <row r="27">
      <c r="A27" s="72" t="inlineStr">
        <is>
          <t>- Sleep quality</t>
        </is>
      </c>
    </row>
    <row r="28">
      <c r="A28" s="72" t="inlineStr">
        <is>
          <t>- Stress level</t>
        </is>
      </c>
    </row>
    <row r="29">
      <c r="A29" s="72" t="inlineStr">
        <is>
          <t>- Free-text journal</t>
        </is>
      </c>
    </row>
    <row r="30">
      <c r="A30" s="72" t="n"/>
    </row>
    <row r="31">
      <c r="A31" s="72" t="n"/>
    </row>
    <row r="32">
      <c r="A32" s="72" t="n"/>
    </row>
    <row r="33">
      <c r="A33" s="72" t="n"/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77" t="inlineStr">
        <is>
          <t>TELECOM SYSTEM DESIGN</t>
        </is>
      </c>
    </row>
    <row r="3">
      <c r="A3" s="78" t="inlineStr">
        <is>
          <t>Component</t>
        </is>
      </c>
      <c r="B3" s="78" t="inlineStr">
        <is>
          <t>Description</t>
        </is>
      </c>
      <c r="C3" s="78" t="inlineStr">
        <is>
          <t>Cost</t>
        </is>
      </c>
      <c r="D3" s="78" t="inlineStr">
        <is>
          <t>Mandatory</t>
        </is>
      </c>
      <c r="E3" s="78" t="inlineStr">
        <is>
          <t>Notes</t>
        </is>
      </c>
    </row>
    <row r="4">
      <c r="A4" s="79" t="inlineStr">
        <is>
          <t>VoIP system</t>
        </is>
      </c>
      <c r="B4" s="79" t="inlineStr">
        <is>
          <t>Main clinic line</t>
        </is>
      </c>
      <c r="C4" s="88" t="n">
        <v>45</v>
      </c>
      <c r="D4" s="79" t="b">
        <v>1</v>
      </c>
      <c r="E4" s="79" t="inlineStr">
        <is>
          <t>Cloud-based</t>
        </is>
      </c>
    </row>
    <row r="5">
      <c r="A5" s="79" t="inlineStr">
        <is>
          <t>Call routing</t>
        </is>
      </c>
      <c r="B5" s="79" t="inlineStr">
        <is>
          <t>Direct to admin</t>
        </is>
      </c>
      <c r="C5" s="88" t="n">
        <v>25</v>
      </c>
      <c r="D5" s="79" t="b">
        <v>1</v>
      </c>
      <c r="E5" s="79" t="inlineStr">
        <is>
          <t>Intake handling</t>
        </is>
      </c>
    </row>
    <row r="6">
      <c r="A6" s="79" t="inlineStr">
        <is>
          <t>Voicemail</t>
        </is>
      </c>
      <c r="B6" s="79" t="inlineStr">
        <is>
          <t>Secure voicemail</t>
        </is>
      </c>
      <c r="C6" s="88" t="n">
        <v>10</v>
      </c>
      <c r="D6" s="79" t="b">
        <v>1</v>
      </c>
      <c r="E6" s="79" t="inlineStr">
        <is>
          <t>HIPAA-like behavior</t>
        </is>
      </c>
    </row>
    <row r="7">
      <c r="A7" s="79" t="inlineStr">
        <is>
          <t>SMS gateway</t>
        </is>
      </c>
      <c r="B7" s="79" t="inlineStr">
        <is>
          <t>Appointment reminders</t>
        </is>
      </c>
      <c r="C7" s="88" t="n">
        <v>80</v>
      </c>
      <c r="D7" s="79" t="b">
        <v>1</v>
      </c>
      <c r="E7" s="79" t="inlineStr">
        <is>
          <t>Linked to plugin</t>
        </is>
      </c>
    </row>
    <row r="8">
      <c r="A8" s="79" t="inlineStr">
        <is>
          <t>Backup line</t>
        </is>
      </c>
      <c r="B8" s="79" t="inlineStr">
        <is>
          <t>Redundancy</t>
        </is>
      </c>
      <c r="C8" s="88" t="n">
        <v>25</v>
      </c>
      <c r="D8" s="79" t="b">
        <v>0</v>
      </c>
      <c r="E8" s="79" t="inlineStr">
        <is>
          <t>Optional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77" t="inlineStr">
        <is>
          <t>SYSTEM MODULES / PLUGINS</t>
        </is>
      </c>
    </row>
    <row r="3">
      <c r="A3" s="78" t="inlineStr">
        <is>
          <t>Module</t>
        </is>
      </c>
      <c r="B3" s="78" t="inlineStr">
        <is>
          <t>Purpose</t>
        </is>
      </c>
      <c r="C3" s="78" t="inlineStr">
        <is>
          <t>Cost Driver</t>
        </is>
      </c>
      <c r="D3" s="78" t="inlineStr">
        <is>
          <t>Phase</t>
        </is>
      </c>
      <c r="E3" s="78" t="inlineStr">
        <is>
          <t>Mandatory</t>
        </is>
      </c>
      <c r="F3" s="78" t="inlineStr">
        <is>
          <t>Notes</t>
        </is>
      </c>
    </row>
    <row r="4">
      <c r="A4" s="79" t="inlineStr">
        <is>
          <t>Core platform</t>
        </is>
      </c>
      <c r="B4" s="79" t="inlineStr">
        <is>
          <t>Scheduling + telehealth</t>
        </is>
      </c>
      <c r="C4" s="79" t="inlineStr">
        <is>
          <t>Subscription</t>
        </is>
      </c>
      <c r="D4" s="79" t="inlineStr">
        <is>
          <t>Phase 1</t>
        </is>
      </c>
      <c r="E4" s="79" t="b">
        <v>1</v>
      </c>
      <c r="F4" s="79" t="inlineStr">
        <is>
          <t>Jane</t>
        </is>
      </c>
    </row>
    <row r="5">
      <c r="A5" s="79" t="inlineStr">
        <is>
          <t>Communications</t>
        </is>
      </c>
      <c r="B5" s="79" t="inlineStr">
        <is>
          <t>Reminders, confirmations</t>
        </is>
      </c>
      <c r="C5" s="79" t="inlineStr">
        <is>
          <t>SMS volume</t>
        </is>
      </c>
      <c r="D5" s="79" t="inlineStr">
        <is>
          <t>Phase 1</t>
        </is>
      </c>
      <c r="E5" s="79" t="b">
        <v>1</v>
      </c>
      <c r="F5" s="79" t="inlineStr">
        <is>
          <t>Email + SMS</t>
        </is>
      </c>
    </row>
    <row r="6">
      <c r="A6" s="79" t="inlineStr">
        <is>
          <t>Tablet notes</t>
        </is>
      </c>
      <c r="B6" s="79" t="inlineStr">
        <is>
          <t>Clinical documentation</t>
        </is>
      </c>
      <c r="C6" s="79" t="inlineStr">
        <is>
          <t>Per therapist</t>
        </is>
      </c>
      <c r="D6" s="79" t="inlineStr">
        <is>
          <t>Phase 1</t>
        </is>
      </c>
      <c r="E6" s="79" t="b">
        <v>1</v>
      </c>
      <c r="F6" s="79" t="inlineStr">
        <is>
          <t>Secure notes</t>
        </is>
      </c>
    </row>
    <row r="7">
      <c r="A7" s="79" t="inlineStr">
        <is>
          <t>Patient app</t>
        </is>
      </c>
      <c r="B7" s="79" t="inlineStr">
        <is>
          <t>Engagement</t>
        </is>
      </c>
      <c r="C7" s="79" t="inlineStr">
        <is>
          <t>Feature modules</t>
        </is>
      </c>
      <c r="D7" s="79" t="inlineStr">
        <is>
          <t>Phase 2</t>
        </is>
      </c>
      <c r="E7" s="79" t="b">
        <v>0</v>
      </c>
      <c r="F7" s="79" t="inlineStr">
        <is>
          <t>Journal, protocols</t>
        </is>
      </c>
    </row>
    <row r="8">
      <c r="A8" s="79" t="inlineStr">
        <is>
          <t>Governance</t>
        </is>
      </c>
      <c r="B8" s="79" t="inlineStr">
        <is>
          <t>Compliance layer</t>
        </is>
      </c>
      <c r="C8" s="79" t="inlineStr">
        <is>
          <t>Legal + audit</t>
        </is>
      </c>
      <c r="D8" s="79" t="inlineStr">
        <is>
          <t>Phase 1</t>
        </is>
      </c>
      <c r="E8" s="79" t="b">
        <v>1</v>
      </c>
      <c r="F8" s="79" t="inlineStr">
        <is>
          <t>Law 25</t>
        </is>
      </c>
    </row>
    <row r="9">
      <c r="A9" s="79" t="inlineStr">
        <is>
          <t>Telecom</t>
        </is>
      </c>
      <c r="B9" s="79" t="inlineStr">
        <is>
          <t>Phone + SMS</t>
        </is>
      </c>
      <c r="C9" s="79" t="inlineStr">
        <is>
          <t>Usage</t>
        </is>
      </c>
      <c r="D9" s="79" t="inlineStr">
        <is>
          <t>Phase 1</t>
        </is>
      </c>
      <c r="E9" s="79" t="b">
        <v>1</v>
      </c>
      <c r="F9" s="79" t="inlineStr">
        <is>
          <t>Required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Architect</dc:creator>
  <dc:title>Clinical Operations System (COS) — Pre-Launch Financial Model</dc:title>
  <dcterms:created xsi:type="dcterms:W3CDTF">2026-04-11T00:29:01Z</dcterms:created>
  <dcterms:modified xsi:type="dcterms:W3CDTF">2026-04-25T06:34:39Z</dcterms:modified>
</cp:coreProperties>
</file>